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pivotTables/pivotTable10.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SNEHITHA GONGATI\OneDrive\文档\"/>
    </mc:Choice>
  </mc:AlternateContent>
  <xr:revisionPtr revIDLastSave="0" documentId="13_ncr:1_{FF0A1B95-60CB-4FB5-9271-1947D6066F33}" xr6:coauthVersionLast="47" xr6:coauthVersionMax="47" xr10:uidLastSave="{00000000-0000-0000-0000-000000000000}"/>
  <bookViews>
    <workbookView xWindow="-108" yWindow="-108" windowWidth="23256" windowHeight="12456" tabRatio="838" firstSheet="1" activeTab="4" xr2:uid="{00000000-000D-0000-FFFF-FFFF00000000}"/>
  </bookViews>
  <sheets>
    <sheet name="cleaned_data" sheetId="2" r:id="rId1"/>
    <sheet name="Pivotcharts" sheetId="3" r:id="rId2"/>
    <sheet name="Raw_data" sheetId="1" r:id="rId3"/>
    <sheet name="Dashboard" sheetId="4" r:id="rId4"/>
    <sheet name="Coin_Comparison" sheetId="6" r:id="rId5"/>
    <sheet name="Liquidity_Analysis" sheetId="7" r:id="rId6"/>
    <sheet name="Price_Analysis" sheetId="8" r:id="rId7"/>
    <sheet name="Historical_Insights" sheetId="9" r:id="rId8"/>
    <sheet name="Low_Budget_Insights" sheetId="10" r:id="rId9"/>
  </sheets>
  <definedNames>
    <definedName name="ExternalData_1" localSheetId="0" hidden="1">'cleaned_data'!$A$1:$I$199</definedName>
    <definedName name="Slicer_Price_Category">#N/A</definedName>
    <definedName name="Slicer_Price_Filter">#N/A</definedName>
    <definedName name="Slicer_Price_Group">#N/A</definedName>
    <definedName name="Slicer_Price_Range">#N/A</definedName>
  </definedNames>
  <calcPr calcId="191029"/>
  <pivotCaches>
    <pivotCache cacheId="10"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10" l="1"/>
  <c r="F4" i="10" s="1"/>
  <c r="G4" i="10"/>
  <c r="H4" i="10"/>
  <c r="V4" i="2"/>
  <c r="V8" i="2"/>
  <c r="V10" i="2"/>
  <c r="V14" i="2"/>
  <c r="V16" i="2"/>
  <c r="V20" i="2"/>
  <c r="V24" i="2"/>
  <c r="V26" i="2"/>
  <c r="V29" i="2"/>
  <c r="V30" i="2"/>
  <c r="V32" i="2"/>
  <c r="V36" i="2"/>
  <c r="V40" i="2"/>
  <c r="V42" i="2"/>
  <c r="V45" i="2"/>
  <c r="V46" i="2"/>
  <c r="V48" i="2"/>
  <c r="V52" i="2"/>
  <c r="V56" i="2"/>
  <c r="V58" i="2"/>
  <c r="V61" i="2"/>
  <c r="V62" i="2"/>
  <c r="V64" i="2"/>
  <c r="V68" i="2"/>
  <c r="V72" i="2"/>
  <c r="V74" i="2"/>
  <c r="V77" i="2"/>
  <c r="V78" i="2"/>
  <c r="V80" i="2"/>
  <c r="V84" i="2"/>
  <c r="V88" i="2"/>
  <c r="V90" i="2"/>
  <c r="V93" i="2"/>
  <c r="V94" i="2"/>
  <c r="V96" i="2"/>
  <c r="V100" i="2"/>
  <c r="V104" i="2"/>
  <c r="V106" i="2"/>
  <c r="V109" i="2"/>
  <c r="V110" i="2"/>
  <c r="V112" i="2"/>
  <c r="V116" i="2"/>
  <c r="V120" i="2"/>
  <c r="V122" i="2"/>
  <c r="V125" i="2"/>
  <c r="V126" i="2"/>
  <c r="V128" i="2"/>
  <c r="V132" i="2"/>
  <c r="V136" i="2"/>
  <c r="V138" i="2"/>
  <c r="V141" i="2"/>
  <c r="V142" i="2"/>
  <c r="V144" i="2"/>
  <c r="V148" i="2"/>
  <c r="V152" i="2"/>
  <c r="V154" i="2"/>
  <c r="V157" i="2"/>
  <c r="V158" i="2"/>
  <c r="V160" i="2"/>
  <c r="V164" i="2"/>
  <c r="V168" i="2"/>
  <c r="V170" i="2"/>
  <c r="V173" i="2"/>
  <c r="V174" i="2"/>
  <c r="V176" i="2"/>
  <c r="V180" i="2"/>
  <c r="V184" i="2"/>
  <c r="V186" i="2"/>
  <c r="V189" i="2"/>
  <c r="V190" i="2"/>
  <c r="V192" i="2"/>
  <c r="V196" i="2"/>
  <c r="W2" i="2"/>
  <c r="U3" i="2"/>
  <c r="V3" i="2" s="1"/>
  <c r="U4" i="2"/>
  <c r="U5" i="2"/>
  <c r="V5" i="2" s="1"/>
  <c r="U6" i="2"/>
  <c r="V6" i="2" s="1"/>
  <c r="U7" i="2"/>
  <c r="V7" i="2" s="1"/>
  <c r="U8" i="2"/>
  <c r="U9" i="2"/>
  <c r="V9" i="2" s="1"/>
  <c r="U10" i="2"/>
  <c r="U11" i="2"/>
  <c r="U12" i="2"/>
  <c r="V12" i="2" s="1"/>
  <c r="U13" i="2"/>
  <c r="V13" i="2" s="1"/>
  <c r="U14" i="2"/>
  <c r="U15" i="2"/>
  <c r="V15" i="2" s="1"/>
  <c r="U16" i="2"/>
  <c r="U17" i="2"/>
  <c r="V17" i="2" s="1"/>
  <c r="U18" i="2"/>
  <c r="V18" i="2" s="1"/>
  <c r="U19" i="2"/>
  <c r="V19" i="2" s="1"/>
  <c r="U20" i="2"/>
  <c r="U21" i="2"/>
  <c r="V21" i="2" s="1"/>
  <c r="U22" i="2"/>
  <c r="V22" i="2" s="1"/>
  <c r="U23" i="2"/>
  <c r="V23" i="2" s="1"/>
  <c r="U24" i="2"/>
  <c r="U25" i="2"/>
  <c r="V25" i="2" s="1"/>
  <c r="U26" i="2"/>
  <c r="U27" i="2"/>
  <c r="U28" i="2"/>
  <c r="V28" i="2" s="1"/>
  <c r="U29" i="2"/>
  <c r="U30" i="2"/>
  <c r="U31" i="2"/>
  <c r="V31" i="2" s="1"/>
  <c r="U32" i="2"/>
  <c r="U33" i="2"/>
  <c r="V33" i="2" s="1"/>
  <c r="U34" i="2"/>
  <c r="V34" i="2" s="1"/>
  <c r="U35" i="2"/>
  <c r="V35" i="2" s="1"/>
  <c r="U36" i="2"/>
  <c r="U37" i="2"/>
  <c r="V37" i="2" s="1"/>
  <c r="U38" i="2"/>
  <c r="V38" i="2" s="1"/>
  <c r="U39" i="2"/>
  <c r="V39" i="2" s="1"/>
  <c r="U40" i="2"/>
  <c r="U41" i="2"/>
  <c r="V41" i="2" s="1"/>
  <c r="U42" i="2"/>
  <c r="U43" i="2"/>
  <c r="U44" i="2"/>
  <c r="V44" i="2" s="1"/>
  <c r="U45" i="2"/>
  <c r="U46" i="2"/>
  <c r="U47" i="2"/>
  <c r="V47" i="2" s="1"/>
  <c r="U48" i="2"/>
  <c r="U49" i="2"/>
  <c r="V49" i="2" s="1"/>
  <c r="U50" i="2"/>
  <c r="V50" i="2" s="1"/>
  <c r="U51" i="2"/>
  <c r="V51" i="2" s="1"/>
  <c r="U52" i="2"/>
  <c r="U53" i="2"/>
  <c r="V53" i="2" s="1"/>
  <c r="U54" i="2"/>
  <c r="V54" i="2" s="1"/>
  <c r="U55" i="2"/>
  <c r="V55" i="2" s="1"/>
  <c r="U56" i="2"/>
  <c r="U57" i="2"/>
  <c r="V57" i="2" s="1"/>
  <c r="U58" i="2"/>
  <c r="U59" i="2"/>
  <c r="U60" i="2"/>
  <c r="V60" i="2" s="1"/>
  <c r="U61" i="2"/>
  <c r="U62" i="2"/>
  <c r="U63" i="2"/>
  <c r="V63" i="2" s="1"/>
  <c r="U64" i="2"/>
  <c r="U65" i="2"/>
  <c r="V65" i="2" s="1"/>
  <c r="U66" i="2"/>
  <c r="V66" i="2" s="1"/>
  <c r="U67" i="2"/>
  <c r="V67" i="2" s="1"/>
  <c r="U68" i="2"/>
  <c r="U69" i="2"/>
  <c r="V69" i="2" s="1"/>
  <c r="U70" i="2"/>
  <c r="V70" i="2" s="1"/>
  <c r="U71" i="2"/>
  <c r="V71" i="2" s="1"/>
  <c r="U72" i="2"/>
  <c r="U73" i="2"/>
  <c r="V73" i="2" s="1"/>
  <c r="U74" i="2"/>
  <c r="U75" i="2"/>
  <c r="U76" i="2"/>
  <c r="V76" i="2" s="1"/>
  <c r="U77" i="2"/>
  <c r="U78" i="2"/>
  <c r="U79" i="2"/>
  <c r="V79" i="2" s="1"/>
  <c r="U80" i="2"/>
  <c r="U81" i="2"/>
  <c r="V81" i="2" s="1"/>
  <c r="U82" i="2"/>
  <c r="V82" i="2" s="1"/>
  <c r="U83" i="2"/>
  <c r="V83" i="2" s="1"/>
  <c r="U84" i="2"/>
  <c r="U85" i="2"/>
  <c r="V85" i="2" s="1"/>
  <c r="U86" i="2"/>
  <c r="V86" i="2" s="1"/>
  <c r="U87" i="2"/>
  <c r="V87" i="2" s="1"/>
  <c r="U88" i="2"/>
  <c r="U89" i="2"/>
  <c r="V89" i="2" s="1"/>
  <c r="U90" i="2"/>
  <c r="U91" i="2"/>
  <c r="U92" i="2"/>
  <c r="V92" i="2" s="1"/>
  <c r="U93" i="2"/>
  <c r="U94" i="2"/>
  <c r="U95" i="2"/>
  <c r="V95" i="2" s="1"/>
  <c r="U96" i="2"/>
  <c r="U97" i="2"/>
  <c r="V97" i="2" s="1"/>
  <c r="U98" i="2"/>
  <c r="V98" i="2" s="1"/>
  <c r="U99" i="2"/>
  <c r="V99" i="2" s="1"/>
  <c r="U100" i="2"/>
  <c r="U101" i="2"/>
  <c r="V101" i="2" s="1"/>
  <c r="U102" i="2"/>
  <c r="V102" i="2" s="1"/>
  <c r="U103" i="2"/>
  <c r="V103" i="2" s="1"/>
  <c r="U104" i="2"/>
  <c r="U105" i="2"/>
  <c r="V105" i="2" s="1"/>
  <c r="U106" i="2"/>
  <c r="U107" i="2"/>
  <c r="U108" i="2"/>
  <c r="V108" i="2" s="1"/>
  <c r="U109" i="2"/>
  <c r="U110" i="2"/>
  <c r="U111" i="2"/>
  <c r="V111" i="2" s="1"/>
  <c r="U112" i="2"/>
  <c r="U113" i="2"/>
  <c r="V113" i="2" s="1"/>
  <c r="U114" i="2"/>
  <c r="V114" i="2" s="1"/>
  <c r="U115" i="2"/>
  <c r="V115" i="2" s="1"/>
  <c r="U116" i="2"/>
  <c r="U117" i="2"/>
  <c r="V117" i="2" s="1"/>
  <c r="U118" i="2"/>
  <c r="V118" i="2" s="1"/>
  <c r="U119" i="2"/>
  <c r="V119" i="2" s="1"/>
  <c r="U120" i="2"/>
  <c r="U121" i="2"/>
  <c r="V121" i="2" s="1"/>
  <c r="U122" i="2"/>
  <c r="U123" i="2"/>
  <c r="U124" i="2"/>
  <c r="V124" i="2" s="1"/>
  <c r="U125" i="2"/>
  <c r="U126" i="2"/>
  <c r="U127" i="2"/>
  <c r="V127" i="2" s="1"/>
  <c r="U128" i="2"/>
  <c r="U129" i="2"/>
  <c r="V129" i="2" s="1"/>
  <c r="U130" i="2"/>
  <c r="V130" i="2" s="1"/>
  <c r="U131" i="2"/>
  <c r="V131" i="2" s="1"/>
  <c r="U132" i="2"/>
  <c r="U133" i="2"/>
  <c r="V133" i="2" s="1"/>
  <c r="U134" i="2"/>
  <c r="V134" i="2" s="1"/>
  <c r="U135" i="2"/>
  <c r="V135" i="2" s="1"/>
  <c r="U136" i="2"/>
  <c r="U137" i="2"/>
  <c r="V137" i="2" s="1"/>
  <c r="U138" i="2"/>
  <c r="U139" i="2"/>
  <c r="U140" i="2"/>
  <c r="V140" i="2" s="1"/>
  <c r="U141" i="2"/>
  <c r="U142" i="2"/>
  <c r="U143" i="2"/>
  <c r="V143" i="2" s="1"/>
  <c r="U144" i="2"/>
  <c r="U145" i="2"/>
  <c r="V145" i="2" s="1"/>
  <c r="U146" i="2"/>
  <c r="V146" i="2" s="1"/>
  <c r="U147" i="2"/>
  <c r="V147" i="2" s="1"/>
  <c r="U148" i="2"/>
  <c r="U149" i="2"/>
  <c r="V149" i="2" s="1"/>
  <c r="U150" i="2"/>
  <c r="V150" i="2" s="1"/>
  <c r="U151" i="2"/>
  <c r="V151" i="2" s="1"/>
  <c r="U152" i="2"/>
  <c r="U153" i="2"/>
  <c r="V153" i="2" s="1"/>
  <c r="U154" i="2"/>
  <c r="U155" i="2"/>
  <c r="U156" i="2"/>
  <c r="V156" i="2" s="1"/>
  <c r="U157" i="2"/>
  <c r="U158" i="2"/>
  <c r="U159" i="2"/>
  <c r="V159" i="2" s="1"/>
  <c r="U160" i="2"/>
  <c r="U161" i="2"/>
  <c r="V161" i="2" s="1"/>
  <c r="U162" i="2"/>
  <c r="V162" i="2" s="1"/>
  <c r="U163" i="2"/>
  <c r="V163" i="2" s="1"/>
  <c r="U164" i="2"/>
  <c r="U165" i="2"/>
  <c r="V165" i="2" s="1"/>
  <c r="U166" i="2"/>
  <c r="V166" i="2" s="1"/>
  <c r="U167" i="2"/>
  <c r="V167" i="2" s="1"/>
  <c r="U168" i="2"/>
  <c r="U169" i="2"/>
  <c r="V169" i="2" s="1"/>
  <c r="U170" i="2"/>
  <c r="U171" i="2"/>
  <c r="U172" i="2"/>
  <c r="V172" i="2" s="1"/>
  <c r="U173" i="2"/>
  <c r="U174" i="2"/>
  <c r="U175" i="2"/>
  <c r="V175" i="2" s="1"/>
  <c r="U176" i="2"/>
  <c r="U177" i="2"/>
  <c r="V177" i="2" s="1"/>
  <c r="U178" i="2"/>
  <c r="V178" i="2" s="1"/>
  <c r="U179" i="2"/>
  <c r="V179" i="2" s="1"/>
  <c r="U180" i="2"/>
  <c r="U181" i="2"/>
  <c r="V181" i="2" s="1"/>
  <c r="U182" i="2"/>
  <c r="V182" i="2" s="1"/>
  <c r="U183" i="2"/>
  <c r="V183" i="2" s="1"/>
  <c r="U184" i="2"/>
  <c r="U185" i="2"/>
  <c r="V185" i="2" s="1"/>
  <c r="U186" i="2"/>
  <c r="U187" i="2"/>
  <c r="U188" i="2"/>
  <c r="V188" i="2" s="1"/>
  <c r="U189" i="2"/>
  <c r="U190" i="2"/>
  <c r="U191" i="2"/>
  <c r="V191" i="2" s="1"/>
  <c r="U192" i="2"/>
  <c r="U193" i="2"/>
  <c r="V193" i="2" s="1"/>
  <c r="U194" i="2"/>
  <c r="V194" i="2" s="1"/>
  <c r="U195" i="2"/>
  <c r="V195" i="2" s="1"/>
  <c r="U196" i="2"/>
  <c r="U197" i="2"/>
  <c r="V197" i="2" s="1"/>
  <c r="U198" i="2"/>
  <c r="V198" i="2" s="1"/>
  <c r="U199" i="2"/>
  <c r="V199" i="2" s="1"/>
  <c r="U2" i="2"/>
  <c r="V2" i="2" s="1"/>
  <c r="S2" i="2"/>
  <c r="S3" i="2"/>
  <c r="S4" i="2"/>
  <c r="S5" i="2"/>
  <c r="S6" i="2"/>
  <c r="S7" i="2"/>
  <c r="S8" i="2"/>
  <c r="S9" i="2"/>
  <c r="S10" i="2"/>
  <c r="S11" i="2"/>
  <c r="V11" i="2" s="1"/>
  <c r="S12" i="2"/>
  <c r="S13" i="2"/>
  <c r="S14" i="2"/>
  <c r="S15" i="2"/>
  <c r="S16" i="2"/>
  <c r="S17" i="2"/>
  <c r="S18" i="2"/>
  <c r="S19" i="2"/>
  <c r="S20" i="2"/>
  <c r="S21" i="2"/>
  <c r="S22" i="2"/>
  <c r="S23" i="2"/>
  <c r="S24" i="2"/>
  <c r="S25" i="2"/>
  <c r="S26" i="2"/>
  <c r="S27" i="2"/>
  <c r="V27" i="2" s="1"/>
  <c r="S28" i="2"/>
  <c r="S29" i="2"/>
  <c r="S30" i="2"/>
  <c r="S31" i="2"/>
  <c r="S32" i="2"/>
  <c r="S33" i="2"/>
  <c r="S34" i="2"/>
  <c r="S35" i="2"/>
  <c r="S36" i="2"/>
  <c r="S37" i="2"/>
  <c r="S38" i="2"/>
  <c r="S39" i="2"/>
  <c r="S40" i="2"/>
  <c r="S41" i="2"/>
  <c r="S42" i="2"/>
  <c r="S43" i="2"/>
  <c r="V43" i="2" s="1"/>
  <c r="S44" i="2"/>
  <c r="S45" i="2"/>
  <c r="S46" i="2"/>
  <c r="S47" i="2"/>
  <c r="S48" i="2"/>
  <c r="S49" i="2"/>
  <c r="S50" i="2"/>
  <c r="S51" i="2"/>
  <c r="S52" i="2"/>
  <c r="S53" i="2"/>
  <c r="S54" i="2"/>
  <c r="S55" i="2"/>
  <c r="S56" i="2"/>
  <c r="S57" i="2"/>
  <c r="S58" i="2"/>
  <c r="S59" i="2"/>
  <c r="V59" i="2" s="1"/>
  <c r="S60" i="2"/>
  <c r="S61" i="2"/>
  <c r="S62" i="2"/>
  <c r="S63" i="2"/>
  <c r="S64" i="2"/>
  <c r="S65" i="2"/>
  <c r="S66" i="2"/>
  <c r="S67" i="2"/>
  <c r="S68" i="2"/>
  <c r="S69" i="2"/>
  <c r="S70" i="2"/>
  <c r="S71" i="2"/>
  <c r="S72" i="2"/>
  <c r="S73" i="2"/>
  <c r="S74" i="2"/>
  <c r="S75" i="2"/>
  <c r="V75" i="2" s="1"/>
  <c r="S76" i="2"/>
  <c r="S77" i="2"/>
  <c r="S78" i="2"/>
  <c r="S79" i="2"/>
  <c r="S80" i="2"/>
  <c r="S81" i="2"/>
  <c r="S82" i="2"/>
  <c r="S83" i="2"/>
  <c r="S84" i="2"/>
  <c r="S85" i="2"/>
  <c r="S86" i="2"/>
  <c r="S87" i="2"/>
  <c r="S88" i="2"/>
  <c r="S89" i="2"/>
  <c r="S90" i="2"/>
  <c r="S91" i="2"/>
  <c r="V91" i="2" s="1"/>
  <c r="S92" i="2"/>
  <c r="S93" i="2"/>
  <c r="S94" i="2"/>
  <c r="S95" i="2"/>
  <c r="S96" i="2"/>
  <c r="S97" i="2"/>
  <c r="S98" i="2"/>
  <c r="S99" i="2"/>
  <c r="S100" i="2"/>
  <c r="S101" i="2"/>
  <c r="S102" i="2"/>
  <c r="S103" i="2"/>
  <c r="S104" i="2"/>
  <c r="S105" i="2"/>
  <c r="S106" i="2"/>
  <c r="S107" i="2"/>
  <c r="V107" i="2" s="1"/>
  <c r="S108" i="2"/>
  <c r="S109" i="2"/>
  <c r="S110" i="2"/>
  <c r="S111" i="2"/>
  <c r="S112" i="2"/>
  <c r="S113" i="2"/>
  <c r="S114" i="2"/>
  <c r="S115" i="2"/>
  <c r="S116" i="2"/>
  <c r="S117" i="2"/>
  <c r="S118" i="2"/>
  <c r="S119" i="2"/>
  <c r="S120" i="2"/>
  <c r="S121" i="2"/>
  <c r="S122" i="2"/>
  <c r="S123" i="2"/>
  <c r="V123" i="2" s="1"/>
  <c r="S124" i="2"/>
  <c r="S125" i="2"/>
  <c r="S126" i="2"/>
  <c r="S127" i="2"/>
  <c r="S128" i="2"/>
  <c r="S129" i="2"/>
  <c r="S130" i="2"/>
  <c r="S131" i="2"/>
  <c r="S132" i="2"/>
  <c r="S133" i="2"/>
  <c r="S134" i="2"/>
  <c r="S135" i="2"/>
  <c r="S136" i="2"/>
  <c r="S137" i="2"/>
  <c r="S138" i="2"/>
  <c r="S139" i="2"/>
  <c r="V139" i="2" s="1"/>
  <c r="S140" i="2"/>
  <c r="S141" i="2"/>
  <c r="S142" i="2"/>
  <c r="S143" i="2"/>
  <c r="S144" i="2"/>
  <c r="S145" i="2"/>
  <c r="S146" i="2"/>
  <c r="S147" i="2"/>
  <c r="S148" i="2"/>
  <c r="S149" i="2"/>
  <c r="S150" i="2"/>
  <c r="S151" i="2"/>
  <c r="S152" i="2"/>
  <c r="S153" i="2"/>
  <c r="S154" i="2"/>
  <c r="S155" i="2"/>
  <c r="V155" i="2" s="1"/>
  <c r="S156" i="2"/>
  <c r="S157" i="2"/>
  <c r="S158" i="2"/>
  <c r="S159" i="2"/>
  <c r="S160" i="2"/>
  <c r="S161" i="2"/>
  <c r="S162" i="2"/>
  <c r="S163" i="2"/>
  <c r="S164" i="2"/>
  <c r="S165" i="2"/>
  <c r="S166" i="2"/>
  <c r="S167" i="2"/>
  <c r="S168" i="2"/>
  <c r="S169" i="2"/>
  <c r="S170" i="2"/>
  <c r="S171" i="2"/>
  <c r="V171" i="2" s="1"/>
  <c r="S172" i="2"/>
  <c r="S173" i="2"/>
  <c r="S174" i="2"/>
  <c r="S175" i="2"/>
  <c r="S176" i="2"/>
  <c r="S177" i="2"/>
  <c r="S178" i="2"/>
  <c r="S179" i="2"/>
  <c r="S180" i="2"/>
  <c r="S181" i="2"/>
  <c r="S182" i="2"/>
  <c r="S183" i="2"/>
  <c r="S184" i="2"/>
  <c r="S185" i="2"/>
  <c r="S186" i="2"/>
  <c r="S187" i="2"/>
  <c r="V187" i="2" s="1"/>
  <c r="S188" i="2"/>
  <c r="S189" i="2"/>
  <c r="S190" i="2"/>
  <c r="S191" i="2"/>
  <c r="S192" i="2"/>
  <c r="S193" i="2"/>
  <c r="S194" i="2"/>
  <c r="S195" i="2"/>
  <c r="S196" i="2"/>
  <c r="S197" i="2"/>
  <c r="S198" i="2"/>
  <c r="S199" i="2"/>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C11" i="6"/>
  <c r="B11" i="6"/>
  <c r="C10" i="6"/>
  <c r="B10" i="6"/>
  <c r="C9" i="6"/>
  <c r="B9" i="6"/>
  <c r="C8" i="6"/>
  <c r="B8" i="6"/>
  <c r="C7" i="6"/>
  <c r="B7" i="6"/>
  <c r="M3" i="2"/>
  <c r="Q3" i="2" s="1"/>
  <c r="M2" i="2"/>
  <c r="R2" i="2" s="1"/>
  <c r="N3" i="2"/>
  <c r="N2"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I56" i="3"/>
  <c r="I54" i="3"/>
  <c r="F37" i="3"/>
  <c r="F38" i="3"/>
  <c r="F39" i="3"/>
  <c r="F40" i="3"/>
  <c r="F36" i="3"/>
  <c r="G37" i="3"/>
  <c r="G38" i="3"/>
  <c r="G39" i="3"/>
  <c r="G40" i="3"/>
  <c r="G36" i="3"/>
  <c r="M4" i="2"/>
  <c r="Q4" i="2" s="1"/>
  <c r="M5" i="2"/>
  <c r="Q5" i="2" s="1"/>
  <c r="M6" i="2"/>
  <c r="Q6" i="2" s="1"/>
  <c r="M7" i="2"/>
  <c r="Q7" i="2" s="1"/>
  <c r="M8" i="2"/>
  <c r="Q8" i="2" s="1"/>
  <c r="M9" i="2"/>
  <c r="Q9" i="2" s="1"/>
  <c r="M10" i="2"/>
  <c r="Q10" i="2" s="1"/>
  <c r="M11" i="2"/>
  <c r="Q11" i="2" s="1"/>
  <c r="M12" i="2"/>
  <c r="Q12" i="2" s="1"/>
  <c r="M13" i="2"/>
  <c r="Q13" i="2" s="1"/>
  <c r="M14" i="2"/>
  <c r="Q14" i="2" s="1"/>
  <c r="M15" i="2"/>
  <c r="Q15" i="2" s="1"/>
  <c r="M16" i="2"/>
  <c r="Q16" i="2" s="1"/>
  <c r="M17" i="2"/>
  <c r="Q17" i="2" s="1"/>
  <c r="M18" i="2"/>
  <c r="Q18" i="2" s="1"/>
  <c r="M19" i="2"/>
  <c r="Q19" i="2" s="1"/>
  <c r="M20" i="2"/>
  <c r="Q20" i="2" s="1"/>
  <c r="M21" i="2"/>
  <c r="Q21" i="2" s="1"/>
  <c r="M22" i="2"/>
  <c r="Q22" i="2" s="1"/>
  <c r="M23" i="2"/>
  <c r="Q23" i="2" s="1"/>
  <c r="M24" i="2"/>
  <c r="Q24" i="2" s="1"/>
  <c r="M25" i="2"/>
  <c r="Q25" i="2" s="1"/>
  <c r="M26" i="2"/>
  <c r="Q26" i="2" s="1"/>
  <c r="M27" i="2"/>
  <c r="Q27" i="2" s="1"/>
  <c r="M28" i="2"/>
  <c r="Q28" i="2" s="1"/>
  <c r="M29" i="2"/>
  <c r="Q29" i="2" s="1"/>
  <c r="M30" i="2"/>
  <c r="Q30" i="2" s="1"/>
  <c r="M31" i="2"/>
  <c r="Q31" i="2" s="1"/>
  <c r="M32" i="2"/>
  <c r="Q32" i="2" s="1"/>
  <c r="M33" i="2"/>
  <c r="Q33" i="2" s="1"/>
  <c r="M34" i="2"/>
  <c r="Q34" i="2" s="1"/>
  <c r="M35" i="2"/>
  <c r="Q35" i="2" s="1"/>
  <c r="M36" i="2"/>
  <c r="Q36" i="2" s="1"/>
  <c r="M37" i="2"/>
  <c r="Q37" i="2" s="1"/>
  <c r="M38" i="2"/>
  <c r="Q38" i="2" s="1"/>
  <c r="M39" i="2"/>
  <c r="Q39" i="2" s="1"/>
  <c r="M40" i="2"/>
  <c r="Q40" i="2" s="1"/>
  <c r="M41" i="2"/>
  <c r="Q41" i="2" s="1"/>
  <c r="M42" i="2"/>
  <c r="Q42" i="2" s="1"/>
  <c r="M43" i="2"/>
  <c r="Q43" i="2" s="1"/>
  <c r="M44" i="2"/>
  <c r="Q44" i="2" s="1"/>
  <c r="M45" i="2"/>
  <c r="Q45" i="2" s="1"/>
  <c r="M46" i="2"/>
  <c r="Q46" i="2" s="1"/>
  <c r="M47" i="2"/>
  <c r="Q47" i="2" s="1"/>
  <c r="M48" i="2"/>
  <c r="Q48" i="2" s="1"/>
  <c r="M49" i="2"/>
  <c r="Q49" i="2" s="1"/>
  <c r="M50" i="2"/>
  <c r="Q50" i="2" s="1"/>
  <c r="M51" i="2"/>
  <c r="Q51" i="2" s="1"/>
  <c r="M52" i="2"/>
  <c r="Q52" i="2" s="1"/>
  <c r="M53" i="2"/>
  <c r="Q53" i="2" s="1"/>
  <c r="M54" i="2"/>
  <c r="Q54" i="2" s="1"/>
  <c r="M55" i="2"/>
  <c r="Q55" i="2" s="1"/>
  <c r="M56" i="2"/>
  <c r="Q56" i="2" s="1"/>
  <c r="M57" i="2"/>
  <c r="Q57" i="2" s="1"/>
  <c r="M58" i="2"/>
  <c r="Q58" i="2" s="1"/>
  <c r="M59" i="2"/>
  <c r="Q59" i="2" s="1"/>
  <c r="M60" i="2"/>
  <c r="Q60" i="2" s="1"/>
  <c r="M61" i="2"/>
  <c r="Q61" i="2" s="1"/>
  <c r="M62" i="2"/>
  <c r="Q62" i="2" s="1"/>
  <c r="M63" i="2"/>
  <c r="Q63" i="2" s="1"/>
  <c r="M64" i="2"/>
  <c r="Q64" i="2" s="1"/>
  <c r="M65" i="2"/>
  <c r="Q65" i="2" s="1"/>
  <c r="M66" i="2"/>
  <c r="Q66" i="2" s="1"/>
  <c r="M67" i="2"/>
  <c r="Q67" i="2" s="1"/>
  <c r="M68" i="2"/>
  <c r="Q68" i="2" s="1"/>
  <c r="M69" i="2"/>
  <c r="Q69" i="2" s="1"/>
  <c r="M70" i="2"/>
  <c r="Q70" i="2" s="1"/>
  <c r="M71" i="2"/>
  <c r="Q71" i="2" s="1"/>
  <c r="M72" i="2"/>
  <c r="Q72" i="2" s="1"/>
  <c r="M73" i="2"/>
  <c r="Q73" i="2" s="1"/>
  <c r="M74" i="2"/>
  <c r="Q74" i="2" s="1"/>
  <c r="M75" i="2"/>
  <c r="Q75" i="2" s="1"/>
  <c r="M76" i="2"/>
  <c r="Q76" i="2" s="1"/>
  <c r="M77" i="2"/>
  <c r="Q77" i="2" s="1"/>
  <c r="M78" i="2"/>
  <c r="Q78" i="2" s="1"/>
  <c r="M79" i="2"/>
  <c r="Q79" i="2" s="1"/>
  <c r="M80" i="2"/>
  <c r="Q80" i="2" s="1"/>
  <c r="M81" i="2"/>
  <c r="Q81" i="2" s="1"/>
  <c r="M82" i="2"/>
  <c r="Q82" i="2" s="1"/>
  <c r="M83" i="2"/>
  <c r="Q83" i="2" s="1"/>
  <c r="M84" i="2"/>
  <c r="Q84" i="2" s="1"/>
  <c r="M85" i="2"/>
  <c r="Q85" i="2" s="1"/>
  <c r="M86" i="2"/>
  <c r="Q86" i="2" s="1"/>
  <c r="M87" i="2"/>
  <c r="Q87" i="2" s="1"/>
  <c r="M88" i="2"/>
  <c r="Q88" i="2" s="1"/>
  <c r="M89" i="2"/>
  <c r="Q89" i="2" s="1"/>
  <c r="M90" i="2"/>
  <c r="Q90" i="2" s="1"/>
  <c r="M91" i="2"/>
  <c r="Q91" i="2" s="1"/>
  <c r="M92" i="2"/>
  <c r="Q92" i="2" s="1"/>
  <c r="M93" i="2"/>
  <c r="Q93" i="2" s="1"/>
  <c r="M94" i="2"/>
  <c r="Q94" i="2" s="1"/>
  <c r="M95" i="2"/>
  <c r="Q95" i="2" s="1"/>
  <c r="M96" i="2"/>
  <c r="Q96" i="2" s="1"/>
  <c r="M97" i="2"/>
  <c r="Q97" i="2" s="1"/>
  <c r="M98" i="2"/>
  <c r="Q98" i="2" s="1"/>
  <c r="M99" i="2"/>
  <c r="Q99" i="2" s="1"/>
  <c r="M100" i="2"/>
  <c r="Q100" i="2" s="1"/>
  <c r="M101" i="2"/>
  <c r="Q101" i="2" s="1"/>
  <c r="M102" i="2"/>
  <c r="Q102" i="2" s="1"/>
  <c r="M103" i="2"/>
  <c r="Q103" i="2" s="1"/>
  <c r="M104" i="2"/>
  <c r="Q104" i="2" s="1"/>
  <c r="M105" i="2"/>
  <c r="Q105" i="2" s="1"/>
  <c r="M106" i="2"/>
  <c r="Q106" i="2" s="1"/>
  <c r="M107" i="2"/>
  <c r="Q107" i="2" s="1"/>
  <c r="M108" i="2"/>
  <c r="Q108" i="2" s="1"/>
  <c r="M109" i="2"/>
  <c r="Q109" i="2" s="1"/>
  <c r="M110" i="2"/>
  <c r="Q110" i="2" s="1"/>
  <c r="M111" i="2"/>
  <c r="Q111" i="2" s="1"/>
  <c r="M112" i="2"/>
  <c r="Q112" i="2" s="1"/>
  <c r="M113" i="2"/>
  <c r="Q113" i="2" s="1"/>
  <c r="M114" i="2"/>
  <c r="Q114" i="2" s="1"/>
  <c r="M115" i="2"/>
  <c r="Q115" i="2" s="1"/>
  <c r="M116" i="2"/>
  <c r="Q116" i="2" s="1"/>
  <c r="M117" i="2"/>
  <c r="Q117" i="2" s="1"/>
  <c r="M118" i="2"/>
  <c r="Q118" i="2" s="1"/>
  <c r="M119" i="2"/>
  <c r="Q119" i="2" s="1"/>
  <c r="M120" i="2"/>
  <c r="Q120" i="2" s="1"/>
  <c r="M121" i="2"/>
  <c r="Q121" i="2" s="1"/>
  <c r="M122" i="2"/>
  <c r="Q122" i="2" s="1"/>
  <c r="M123" i="2"/>
  <c r="Q123" i="2" s="1"/>
  <c r="M124" i="2"/>
  <c r="Q124" i="2" s="1"/>
  <c r="M125" i="2"/>
  <c r="Q125" i="2" s="1"/>
  <c r="M126" i="2"/>
  <c r="Q126" i="2" s="1"/>
  <c r="M127" i="2"/>
  <c r="Q127" i="2" s="1"/>
  <c r="M128" i="2"/>
  <c r="Q128" i="2" s="1"/>
  <c r="M129" i="2"/>
  <c r="Q129" i="2" s="1"/>
  <c r="M130" i="2"/>
  <c r="Q130" i="2" s="1"/>
  <c r="M131" i="2"/>
  <c r="Q131" i="2" s="1"/>
  <c r="M132" i="2"/>
  <c r="Q132" i="2" s="1"/>
  <c r="M133" i="2"/>
  <c r="Q133" i="2" s="1"/>
  <c r="M134" i="2"/>
  <c r="Q134" i="2" s="1"/>
  <c r="M135" i="2"/>
  <c r="Q135" i="2" s="1"/>
  <c r="M136" i="2"/>
  <c r="Q136" i="2" s="1"/>
  <c r="M137" i="2"/>
  <c r="Q137" i="2" s="1"/>
  <c r="M138" i="2"/>
  <c r="Q138" i="2" s="1"/>
  <c r="M139" i="2"/>
  <c r="Q139" i="2" s="1"/>
  <c r="M140" i="2"/>
  <c r="Q140" i="2" s="1"/>
  <c r="M141" i="2"/>
  <c r="Q141" i="2" s="1"/>
  <c r="M142" i="2"/>
  <c r="Q142" i="2" s="1"/>
  <c r="M143" i="2"/>
  <c r="Q143" i="2" s="1"/>
  <c r="M144" i="2"/>
  <c r="Q144" i="2" s="1"/>
  <c r="M145" i="2"/>
  <c r="Q145" i="2" s="1"/>
  <c r="M146" i="2"/>
  <c r="Q146" i="2" s="1"/>
  <c r="M147" i="2"/>
  <c r="Q147" i="2" s="1"/>
  <c r="M148" i="2"/>
  <c r="Q148" i="2" s="1"/>
  <c r="M149" i="2"/>
  <c r="Q149" i="2" s="1"/>
  <c r="M150" i="2"/>
  <c r="Q150" i="2" s="1"/>
  <c r="M151" i="2"/>
  <c r="Q151" i="2" s="1"/>
  <c r="M152" i="2"/>
  <c r="Q152" i="2" s="1"/>
  <c r="M153" i="2"/>
  <c r="Q153" i="2" s="1"/>
  <c r="M154" i="2"/>
  <c r="Q154" i="2" s="1"/>
  <c r="M155" i="2"/>
  <c r="Q155" i="2" s="1"/>
  <c r="M156" i="2"/>
  <c r="Q156" i="2" s="1"/>
  <c r="M157" i="2"/>
  <c r="Q157" i="2" s="1"/>
  <c r="M158" i="2"/>
  <c r="Q158" i="2" s="1"/>
  <c r="M159" i="2"/>
  <c r="Q159" i="2" s="1"/>
  <c r="M160" i="2"/>
  <c r="Q160" i="2" s="1"/>
  <c r="M161" i="2"/>
  <c r="Q161" i="2" s="1"/>
  <c r="M162" i="2"/>
  <c r="Q162" i="2" s="1"/>
  <c r="M163" i="2"/>
  <c r="Q163" i="2" s="1"/>
  <c r="M164" i="2"/>
  <c r="Q164" i="2" s="1"/>
  <c r="M165" i="2"/>
  <c r="Q165" i="2" s="1"/>
  <c r="M166" i="2"/>
  <c r="Q166" i="2" s="1"/>
  <c r="M167" i="2"/>
  <c r="Q167" i="2" s="1"/>
  <c r="M168" i="2"/>
  <c r="Q168" i="2" s="1"/>
  <c r="M169" i="2"/>
  <c r="Q169" i="2" s="1"/>
  <c r="M170" i="2"/>
  <c r="Q170" i="2" s="1"/>
  <c r="M171" i="2"/>
  <c r="Q171" i="2" s="1"/>
  <c r="M172" i="2"/>
  <c r="Q172" i="2" s="1"/>
  <c r="M173" i="2"/>
  <c r="Q173" i="2" s="1"/>
  <c r="M174" i="2"/>
  <c r="Q174" i="2" s="1"/>
  <c r="M175" i="2"/>
  <c r="Q175" i="2" s="1"/>
  <c r="M176" i="2"/>
  <c r="Q176" i="2" s="1"/>
  <c r="M177" i="2"/>
  <c r="Q177" i="2" s="1"/>
  <c r="M178" i="2"/>
  <c r="Q178" i="2" s="1"/>
  <c r="M179" i="2"/>
  <c r="Q179" i="2" s="1"/>
  <c r="M180" i="2"/>
  <c r="Q180" i="2" s="1"/>
  <c r="M181" i="2"/>
  <c r="Q181" i="2" s="1"/>
  <c r="M182" i="2"/>
  <c r="Q182" i="2" s="1"/>
  <c r="M183" i="2"/>
  <c r="Q183" i="2" s="1"/>
  <c r="M184" i="2"/>
  <c r="Q184" i="2" s="1"/>
  <c r="M185" i="2"/>
  <c r="Q185" i="2" s="1"/>
  <c r="M186" i="2"/>
  <c r="Q186" i="2" s="1"/>
  <c r="M187" i="2"/>
  <c r="Q187" i="2" s="1"/>
  <c r="M188" i="2"/>
  <c r="Q188" i="2" s="1"/>
  <c r="M189" i="2"/>
  <c r="Q189" i="2" s="1"/>
  <c r="M190" i="2"/>
  <c r="Q190" i="2" s="1"/>
  <c r="M191" i="2"/>
  <c r="Q191" i="2" s="1"/>
  <c r="M192" i="2"/>
  <c r="Q192" i="2" s="1"/>
  <c r="M193" i="2"/>
  <c r="Q193" i="2" s="1"/>
  <c r="M194" i="2"/>
  <c r="Q194" i="2" s="1"/>
  <c r="M195" i="2"/>
  <c r="Q195" i="2" s="1"/>
  <c r="M196" i="2"/>
  <c r="Q196" i="2" s="1"/>
  <c r="M197" i="2"/>
  <c r="Q197" i="2" s="1"/>
  <c r="M198" i="2"/>
  <c r="Q198" i="2" s="1"/>
  <c r="M199" i="2"/>
  <c r="Q199"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H35" i="3"/>
  <c r="W199" i="2" l="1"/>
  <c r="W183" i="2"/>
  <c r="W167" i="2"/>
  <c r="W151" i="2"/>
  <c r="W135" i="2"/>
  <c r="W119" i="2"/>
  <c r="W103" i="2"/>
  <c r="W87" i="2"/>
  <c r="W71" i="2"/>
  <c r="W55" i="2"/>
  <c r="W39" i="2"/>
  <c r="W23" i="2"/>
  <c r="W7" i="2"/>
  <c r="W198" i="2"/>
  <c r="W182" i="2"/>
  <c r="W166" i="2"/>
  <c r="W150" i="2"/>
  <c r="W134" i="2"/>
  <c r="W118" i="2"/>
  <c r="W102" i="2"/>
  <c r="W86" i="2"/>
  <c r="W70" i="2"/>
  <c r="W54" i="2"/>
  <c r="W38" i="2"/>
  <c r="W22" i="2"/>
  <c r="W6" i="2"/>
  <c r="W197" i="2"/>
  <c r="W181" i="2"/>
  <c r="W165" i="2"/>
  <c r="W149" i="2"/>
  <c r="W133" i="2"/>
  <c r="W117" i="2"/>
  <c r="W101" i="2"/>
  <c r="W85" i="2"/>
  <c r="W69" i="2"/>
  <c r="W53" i="2"/>
  <c r="W37" i="2"/>
  <c r="W21" i="2"/>
  <c r="W5" i="2"/>
  <c r="W196" i="2"/>
  <c r="W180" i="2"/>
  <c r="W164" i="2"/>
  <c r="W148" i="2"/>
  <c r="W132" i="2"/>
  <c r="W116" i="2"/>
  <c r="W100" i="2"/>
  <c r="W84" i="2"/>
  <c r="W68" i="2"/>
  <c r="W52" i="2"/>
  <c r="W36" i="2"/>
  <c r="W20" i="2"/>
  <c r="W4" i="2"/>
  <c r="W195" i="2"/>
  <c r="W179" i="2"/>
  <c r="W163" i="2"/>
  <c r="W147" i="2"/>
  <c r="W131" i="2"/>
  <c r="W115" i="2"/>
  <c r="W99" i="2"/>
  <c r="W83" i="2"/>
  <c r="W67" i="2"/>
  <c r="W51" i="2"/>
  <c r="W35" i="2"/>
  <c r="W19" i="2"/>
  <c r="W3" i="2"/>
  <c r="W194" i="2"/>
  <c r="W178" i="2"/>
  <c r="W162" i="2"/>
  <c r="W146" i="2"/>
  <c r="W130" i="2"/>
  <c r="W114" i="2"/>
  <c r="W98" i="2"/>
  <c r="W82" i="2"/>
  <c r="W66" i="2"/>
  <c r="W50" i="2"/>
  <c r="W34" i="2"/>
  <c r="W18" i="2"/>
  <c r="W193" i="2"/>
  <c r="W177" i="2"/>
  <c r="W161" i="2"/>
  <c r="W145" i="2"/>
  <c r="W129" i="2"/>
  <c r="W113" i="2"/>
  <c r="W97" i="2"/>
  <c r="W81" i="2"/>
  <c r="W65" i="2"/>
  <c r="W49" i="2"/>
  <c r="W33" i="2"/>
  <c r="W17" i="2"/>
  <c r="W192" i="2"/>
  <c r="W176" i="2"/>
  <c r="W160" i="2"/>
  <c r="W144" i="2"/>
  <c r="W128" i="2"/>
  <c r="W112" i="2"/>
  <c r="W96" i="2"/>
  <c r="W80" i="2"/>
  <c r="W64" i="2"/>
  <c r="W48" i="2"/>
  <c r="W32" i="2"/>
  <c r="W16" i="2"/>
  <c r="W191" i="2"/>
  <c r="W175" i="2"/>
  <c r="W159" i="2"/>
  <c r="W143" i="2"/>
  <c r="W127" i="2"/>
  <c r="W111" i="2"/>
  <c r="W95" i="2"/>
  <c r="W79" i="2"/>
  <c r="W63" i="2"/>
  <c r="W47" i="2"/>
  <c r="W31" i="2"/>
  <c r="W15" i="2"/>
  <c r="W190" i="2"/>
  <c r="W174" i="2"/>
  <c r="W158" i="2"/>
  <c r="W142" i="2"/>
  <c r="W126" i="2"/>
  <c r="W110" i="2"/>
  <c r="W94" i="2"/>
  <c r="W78" i="2"/>
  <c r="W62" i="2"/>
  <c r="W46" i="2"/>
  <c r="W30" i="2"/>
  <c r="W14" i="2"/>
  <c r="W189" i="2"/>
  <c r="W173" i="2"/>
  <c r="W157" i="2"/>
  <c r="W141" i="2"/>
  <c r="W125" i="2"/>
  <c r="W109" i="2"/>
  <c r="W93" i="2"/>
  <c r="W77" i="2"/>
  <c r="W61" i="2"/>
  <c r="W45" i="2"/>
  <c r="W29" i="2"/>
  <c r="W13" i="2"/>
  <c r="W188" i="2"/>
  <c r="W172" i="2"/>
  <c r="W156" i="2"/>
  <c r="W140" i="2"/>
  <c r="W124" i="2"/>
  <c r="W108" i="2"/>
  <c r="W92" i="2"/>
  <c r="W76" i="2"/>
  <c r="W60" i="2"/>
  <c r="W44" i="2"/>
  <c r="W28" i="2"/>
  <c r="W12" i="2"/>
  <c r="W187" i="2"/>
  <c r="W171" i="2"/>
  <c r="W155" i="2"/>
  <c r="W139" i="2"/>
  <c r="W123" i="2"/>
  <c r="W107" i="2"/>
  <c r="W91" i="2"/>
  <c r="W75" i="2"/>
  <c r="W59" i="2"/>
  <c r="W43" i="2"/>
  <c r="W27" i="2"/>
  <c r="W11" i="2"/>
  <c r="W186" i="2"/>
  <c r="W170" i="2"/>
  <c r="W154" i="2"/>
  <c r="W138" i="2"/>
  <c r="W122" i="2"/>
  <c r="W106" i="2"/>
  <c r="W90" i="2"/>
  <c r="W74" i="2"/>
  <c r="W58" i="2"/>
  <c r="W42" i="2"/>
  <c r="W26" i="2"/>
  <c r="W10" i="2"/>
  <c r="W185" i="2"/>
  <c r="W169" i="2"/>
  <c r="W153" i="2"/>
  <c r="W137" i="2"/>
  <c r="W121" i="2"/>
  <c r="W105" i="2"/>
  <c r="W89" i="2"/>
  <c r="W73" i="2"/>
  <c r="W57" i="2"/>
  <c r="W41" i="2"/>
  <c r="W25" i="2"/>
  <c r="W9" i="2"/>
  <c r="W184" i="2"/>
  <c r="W168" i="2"/>
  <c r="W152" i="2"/>
  <c r="W136" i="2"/>
  <c r="W120" i="2"/>
  <c r="W104" i="2"/>
  <c r="W88" i="2"/>
  <c r="W72" i="2"/>
  <c r="W56" i="2"/>
  <c r="W40" i="2"/>
  <c r="W24" i="2"/>
  <c r="W8" i="2"/>
  <c r="T139" i="2"/>
  <c r="T75" i="2"/>
  <c r="T11" i="2"/>
  <c r="R193" i="2"/>
  <c r="R177" i="2"/>
  <c r="R161" i="2"/>
  <c r="R145" i="2"/>
  <c r="R129" i="2"/>
  <c r="R113" i="2"/>
  <c r="R97" i="2"/>
  <c r="R81" i="2"/>
  <c r="R65" i="2"/>
  <c r="R49" i="2"/>
  <c r="R33" i="2"/>
  <c r="R17" i="2"/>
  <c r="T138" i="2"/>
  <c r="T74" i="2"/>
  <c r="T10" i="2"/>
  <c r="R192" i="2"/>
  <c r="R176" i="2"/>
  <c r="R160" i="2"/>
  <c r="R144" i="2"/>
  <c r="R128" i="2"/>
  <c r="R112" i="2"/>
  <c r="R96" i="2"/>
  <c r="R80" i="2"/>
  <c r="R64" i="2"/>
  <c r="R48" i="2"/>
  <c r="R32" i="2"/>
  <c r="R16" i="2"/>
  <c r="T137" i="2"/>
  <c r="T73" i="2"/>
  <c r="T9" i="2"/>
  <c r="R191" i="2"/>
  <c r="R175" i="2"/>
  <c r="R159" i="2"/>
  <c r="R143" i="2"/>
  <c r="R127" i="2"/>
  <c r="R111" i="2"/>
  <c r="R95" i="2"/>
  <c r="R79" i="2"/>
  <c r="R63" i="2"/>
  <c r="R47" i="2"/>
  <c r="R31" i="2"/>
  <c r="R15" i="2"/>
  <c r="T136" i="2"/>
  <c r="T72" i="2"/>
  <c r="T8" i="2"/>
  <c r="R190" i="2"/>
  <c r="R174" i="2"/>
  <c r="R158" i="2"/>
  <c r="R142" i="2"/>
  <c r="R126" i="2"/>
  <c r="R110" i="2"/>
  <c r="R94" i="2"/>
  <c r="R78" i="2"/>
  <c r="R62" i="2"/>
  <c r="R46" i="2"/>
  <c r="R30" i="2"/>
  <c r="R14" i="2"/>
  <c r="T187" i="2"/>
  <c r="T123" i="2"/>
  <c r="T59" i="2"/>
  <c r="R189" i="2"/>
  <c r="R173" i="2"/>
  <c r="R157" i="2"/>
  <c r="R141" i="2"/>
  <c r="R125" i="2"/>
  <c r="R109" i="2"/>
  <c r="R93" i="2"/>
  <c r="R77" i="2"/>
  <c r="R61" i="2"/>
  <c r="R45" i="2"/>
  <c r="R29" i="2"/>
  <c r="R13" i="2"/>
  <c r="T186" i="2"/>
  <c r="T122" i="2"/>
  <c r="T58" i="2"/>
  <c r="R188" i="2"/>
  <c r="R172" i="2"/>
  <c r="R156" i="2"/>
  <c r="R140" i="2"/>
  <c r="R124" i="2"/>
  <c r="R108" i="2"/>
  <c r="R92" i="2"/>
  <c r="R76" i="2"/>
  <c r="R60" i="2"/>
  <c r="R44" i="2"/>
  <c r="R28" i="2"/>
  <c r="R12" i="2"/>
  <c r="T185" i="2"/>
  <c r="T121" i="2"/>
  <c r="T57" i="2"/>
  <c r="R187" i="2"/>
  <c r="R171" i="2"/>
  <c r="R155" i="2"/>
  <c r="R139" i="2"/>
  <c r="R123" i="2"/>
  <c r="R107" i="2"/>
  <c r="R91" i="2"/>
  <c r="R75" i="2"/>
  <c r="R59" i="2"/>
  <c r="R43" i="2"/>
  <c r="R27" i="2"/>
  <c r="R11" i="2"/>
  <c r="T184" i="2"/>
  <c r="T120" i="2"/>
  <c r="T56" i="2"/>
  <c r="R186" i="2"/>
  <c r="R170" i="2"/>
  <c r="R154" i="2"/>
  <c r="R138" i="2"/>
  <c r="R122" i="2"/>
  <c r="R106" i="2"/>
  <c r="R90" i="2"/>
  <c r="R74" i="2"/>
  <c r="R58" i="2"/>
  <c r="R42" i="2"/>
  <c r="R26" i="2"/>
  <c r="R10" i="2"/>
  <c r="T171" i="2"/>
  <c r="T107" i="2"/>
  <c r="T43" i="2"/>
  <c r="R185" i="2"/>
  <c r="R169" i="2"/>
  <c r="R153" i="2"/>
  <c r="R137" i="2"/>
  <c r="R121" i="2"/>
  <c r="R105" i="2"/>
  <c r="R89" i="2"/>
  <c r="R73" i="2"/>
  <c r="R57" i="2"/>
  <c r="R41" i="2"/>
  <c r="R25" i="2"/>
  <c r="R9" i="2"/>
  <c r="T170" i="2"/>
  <c r="T106" i="2"/>
  <c r="T42" i="2"/>
  <c r="R184" i="2"/>
  <c r="R168" i="2"/>
  <c r="R152" i="2"/>
  <c r="R136" i="2"/>
  <c r="R120" i="2"/>
  <c r="R104" i="2"/>
  <c r="R88" i="2"/>
  <c r="R72" i="2"/>
  <c r="R56" i="2"/>
  <c r="R40" i="2"/>
  <c r="R24" i="2"/>
  <c r="R8" i="2"/>
  <c r="T169" i="2"/>
  <c r="T105" i="2"/>
  <c r="T41" i="2"/>
  <c r="R199" i="2"/>
  <c r="R183" i="2"/>
  <c r="R167" i="2"/>
  <c r="R151" i="2"/>
  <c r="R135" i="2"/>
  <c r="R119" i="2"/>
  <c r="R103" i="2"/>
  <c r="R87" i="2"/>
  <c r="R71" i="2"/>
  <c r="R55" i="2"/>
  <c r="R39" i="2"/>
  <c r="R23" i="2"/>
  <c r="R7" i="2"/>
  <c r="T168" i="2"/>
  <c r="T104" i="2"/>
  <c r="T40" i="2"/>
  <c r="R198" i="2"/>
  <c r="R182" i="2"/>
  <c r="R166" i="2"/>
  <c r="R150" i="2"/>
  <c r="R134" i="2"/>
  <c r="R118" i="2"/>
  <c r="R102" i="2"/>
  <c r="R86" i="2"/>
  <c r="R70" i="2"/>
  <c r="R54" i="2"/>
  <c r="R38" i="2"/>
  <c r="R22" i="2"/>
  <c r="R6" i="2"/>
  <c r="T155" i="2"/>
  <c r="T91" i="2"/>
  <c r="T27" i="2"/>
  <c r="R197" i="2"/>
  <c r="R181" i="2"/>
  <c r="R165" i="2"/>
  <c r="R149" i="2"/>
  <c r="R133" i="2"/>
  <c r="R117" i="2"/>
  <c r="R101" i="2"/>
  <c r="R85" i="2"/>
  <c r="R69" i="2"/>
  <c r="R53" i="2"/>
  <c r="R37" i="2"/>
  <c r="R21" i="2"/>
  <c r="R5" i="2"/>
  <c r="T154" i="2"/>
  <c r="T90" i="2"/>
  <c r="T26" i="2"/>
  <c r="R196" i="2"/>
  <c r="R180" i="2"/>
  <c r="R164" i="2"/>
  <c r="R148" i="2"/>
  <c r="R132" i="2"/>
  <c r="R116" i="2"/>
  <c r="R100" i="2"/>
  <c r="R84" i="2"/>
  <c r="R68" i="2"/>
  <c r="R52" i="2"/>
  <c r="R36" i="2"/>
  <c r="R20" i="2"/>
  <c r="R4" i="2"/>
  <c r="T153" i="2"/>
  <c r="T89" i="2"/>
  <c r="T25" i="2"/>
  <c r="R195" i="2"/>
  <c r="R179" i="2"/>
  <c r="R163" i="2"/>
  <c r="R147" i="2"/>
  <c r="R131" i="2"/>
  <c r="R115" i="2"/>
  <c r="R99" i="2"/>
  <c r="R83" i="2"/>
  <c r="R67" i="2"/>
  <c r="R51" i="2"/>
  <c r="R35" i="2"/>
  <c r="R19" i="2"/>
  <c r="R3" i="2"/>
  <c r="T152" i="2"/>
  <c r="T88" i="2"/>
  <c r="T24" i="2"/>
  <c r="R194" i="2"/>
  <c r="R178" i="2"/>
  <c r="R162" i="2"/>
  <c r="R146" i="2"/>
  <c r="R130" i="2"/>
  <c r="R114" i="2"/>
  <c r="R98" i="2"/>
  <c r="R82" i="2"/>
  <c r="R66" i="2"/>
  <c r="R50" i="2"/>
  <c r="R34" i="2"/>
  <c r="R18" i="2"/>
  <c r="T167" i="2"/>
  <c r="T71" i="2"/>
  <c r="T182" i="2"/>
  <c r="T102" i="2"/>
  <c r="T38" i="2"/>
  <c r="T6" i="2"/>
  <c r="T197" i="2"/>
  <c r="T117" i="2"/>
  <c r="T85" i="2"/>
  <c r="T53" i="2"/>
  <c r="T21" i="2"/>
  <c r="T132" i="2"/>
  <c r="T36" i="2"/>
  <c r="T35" i="2"/>
  <c r="T87" i="2"/>
  <c r="T150" i="2"/>
  <c r="T86" i="2"/>
  <c r="T22" i="2"/>
  <c r="T180" i="2"/>
  <c r="T68" i="2"/>
  <c r="T179" i="2"/>
  <c r="T83" i="2"/>
  <c r="T146" i="2"/>
  <c r="T193" i="2"/>
  <c r="T97" i="2"/>
  <c r="T17" i="2"/>
  <c r="T192" i="2"/>
  <c r="T176" i="2"/>
  <c r="T160" i="2"/>
  <c r="T144" i="2"/>
  <c r="T128" i="2"/>
  <c r="T112" i="2"/>
  <c r="T96" i="2"/>
  <c r="T80" i="2"/>
  <c r="T64" i="2"/>
  <c r="T48" i="2"/>
  <c r="T32" i="2"/>
  <c r="T16" i="2"/>
  <c r="T135" i="2"/>
  <c r="T149" i="2"/>
  <c r="T164" i="2"/>
  <c r="T52" i="2"/>
  <c r="T163" i="2"/>
  <c r="T67" i="2"/>
  <c r="T130" i="2"/>
  <c r="T82" i="2"/>
  <c r="T50" i="2"/>
  <c r="T2" i="2"/>
  <c r="T113" i="2"/>
  <c r="T33" i="2"/>
  <c r="T191" i="2"/>
  <c r="T175" i="2"/>
  <c r="T159" i="2"/>
  <c r="T143" i="2"/>
  <c r="T127" i="2"/>
  <c r="T111" i="2"/>
  <c r="T95" i="2"/>
  <c r="T79" i="2"/>
  <c r="T63" i="2"/>
  <c r="T47" i="2"/>
  <c r="T31" i="2"/>
  <c r="T15" i="2"/>
  <c r="T199" i="2"/>
  <c r="T103" i="2"/>
  <c r="T39" i="2"/>
  <c r="T7" i="2"/>
  <c r="T198" i="2"/>
  <c r="T118" i="2"/>
  <c r="T54" i="2"/>
  <c r="T133" i="2"/>
  <c r="T148" i="2"/>
  <c r="T100" i="2"/>
  <c r="T20" i="2"/>
  <c r="T147" i="2"/>
  <c r="T99" i="2"/>
  <c r="T3" i="2"/>
  <c r="T194" i="2"/>
  <c r="T114" i="2"/>
  <c r="T18" i="2"/>
  <c r="T177" i="2"/>
  <c r="T129" i="2"/>
  <c r="T65" i="2"/>
  <c r="T190" i="2"/>
  <c r="T174" i="2"/>
  <c r="T158" i="2"/>
  <c r="T142" i="2"/>
  <c r="T126" i="2"/>
  <c r="T110" i="2"/>
  <c r="T94" i="2"/>
  <c r="T78" i="2"/>
  <c r="T62" i="2"/>
  <c r="T46" i="2"/>
  <c r="T30" i="2"/>
  <c r="T14" i="2"/>
  <c r="T183" i="2"/>
  <c r="T119" i="2"/>
  <c r="T55" i="2"/>
  <c r="T23" i="2"/>
  <c r="T134" i="2"/>
  <c r="T70" i="2"/>
  <c r="T181" i="2"/>
  <c r="T196" i="2"/>
  <c r="T84" i="2"/>
  <c r="T4" i="2"/>
  <c r="T195" i="2"/>
  <c r="T115" i="2"/>
  <c r="T19" i="2"/>
  <c r="T162" i="2"/>
  <c r="T98" i="2"/>
  <c r="T34" i="2"/>
  <c r="T145" i="2"/>
  <c r="T49" i="2"/>
  <c r="T189" i="2"/>
  <c r="T173" i="2"/>
  <c r="T157" i="2"/>
  <c r="T141" i="2"/>
  <c r="T125" i="2"/>
  <c r="T109" i="2"/>
  <c r="T93" i="2"/>
  <c r="T77" i="2"/>
  <c r="T61" i="2"/>
  <c r="T45" i="2"/>
  <c r="T29" i="2"/>
  <c r="T13" i="2"/>
  <c r="T151" i="2"/>
  <c r="T166" i="2"/>
  <c r="T165" i="2"/>
  <c r="T101" i="2"/>
  <c r="T69" i="2"/>
  <c r="T37" i="2"/>
  <c r="T5" i="2"/>
  <c r="T116" i="2"/>
  <c r="T131" i="2"/>
  <c r="T51" i="2"/>
  <c r="T178" i="2"/>
  <c r="T66" i="2"/>
  <c r="T161" i="2"/>
  <c r="T81" i="2"/>
  <c r="T188" i="2"/>
  <c r="T172" i="2"/>
  <c r="T156" i="2"/>
  <c r="T140" i="2"/>
  <c r="T124" i="2"/>
  <c r="T108" i="2"/>
  <c r="T92" i="2"/>
  <c r="T76" i="2"/>
  <c r="T60" i="2"/>
  <c r="T44" i="2"/>
  <c r="T28" i="2"/>
  <c r="T12" i="2"/>
  <c r="F11" i="6"/>
  <c r="Q2" i="2"/>
  <c r="F7" i="6"/>
  <c r="F9" i="6"/>
  <c r="G41" i="3"/>
  <c r="I4" i="1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F52DEC-6B1B-4776-9560-60B473F6051E}" keepAlive="1" name="Query - Cleaned data" description="Connection to the 'Cleaned data' query in the workbook." type="5" refreshedVersion="8" background="1" saveData="1">
    <dbPr connection="Provider=Microsoft.Mashup.OleDb.1;Data Source=$Workbook$;Location=&quot;Cleaned data&quot;;Extended Properties=&quot;&quot;" command="SELECT * FROM [Cleaned data]"/>
  </connection>
</connections>
</file>

<file path=xl/sharedStrings.xml><?xml version="1.0" encoding="utf-8"?>
<sst xmlns="http://schemas.openxmlformats.org/spreadsheetml/2006/main" count="2166" uniqueCount="1278">
  <si>
    <t>Coin Name</t>
  </si>
  <si>
    <t>Symbol</t>
  </si>
  <si>
    <t>Price (USD)</t>
  </si>
  <si>
    <t>1h Change (%)</t>
  </si>
  <si>
    <t>Market Cap</t>
  </si>
  <si>
    <t>Volume (24h) USD</t>
  </si>
  <si>
    <t>Circulating Supply</t>
  </si>
  <si>
    <t>CoinMarketCap 20 Index DTF</t>
  </si>
  <si>
    <t>CMC20</t>
  </si>
  <si>
    <t>$162.98</t>
  </si>
  <si>
    <t>0.03%</t>
  </si>
  <si>
    <t>$1,457,463</t>
  </si>
  <si>
    <t>102.89K</t>
  </si>
  <si>
    <t>Bitcoin</t>
  </si>
  <si>
    <t>BTC</t>
  </si>
  <si>
    <t>$80,712.68</t>
  </si>
  <si>
    <t>0.18%</t>
  </si>
  <si>
    <t>$16,628,011,956</t>
  </si>
  <si>
    <t>20.02M</t>
  </si>
  <si>
    <t>Ethereum</t>
  </si>
  <si>
    <t>ETH</t>
  </si>
  <si>
    <t>$2,324.59</t>
  </si>
  <si>
    <t>0.30%</t>
  </si>
  <si>
    <t>$10,716,404,174</t>
  </si>
  <si>
    <t>120.68M</t>
  </si>
  <si>
    <t>Tether</t>
  </si>
  <si>
    <t>USDT</t>
  </si>
  <si>
    <t>$0.9998</t>
  </si>
  <si>
    <t>0.00%</t>
  </si>
  <si>
    <t>$48,312,579,282</t>
  </si>
  <si>
    <t>189.69B</t>
  </si>
  <si>
    <t>XRP</t>
  </si>
  <si>
    <t>$1.42</t>
  </si>
  <si>
    <t>0.15%</t>
  </si>
  <si>
    <t>$1,116,496,778</t>
  </si>
  <si>
    <t>61.79B</t>
  </si>
  <si>
    <t>BNB</t>
  </si>
  <si>
    <t>$651.03</t>
  </si>
  <si>
    <t>0.09%</t>
  </si>
  <si>
    <t>$778,535,503</t>
  </si>
  <si>
    <t>134.78M</t>
  </si>
  <si>
    <t>USDC</t>
  </si>
  <si>
    <t>0.01%</t>
  </si>
  <si>
    <t>$5,322,893,046</t>
  </si>
  <si>
    <t>77.89B</t>
  </si>
  <si>
    <t>Solana</t>
  </si>
  <si>
    <t>SOL</t>
  </si>
  <si>
    <t>$94.31</t>
  </si>
  <si>
    <t>0.32%</t>
  </si>
  <si>
    <t>$3,160,895,215</t>
  </si>
  <si>
    <t>577.56M</t>
  </si>
  <si>
    <t>TRON</t>
  </si>
  <si>
    <t>TRX</t>
  </si>
  <si>
    <t>$0.3492</t>
  </si>
  <si>
    <t>$598,206,865</t>
  </si>
  <si>
    <t>94.79B</t>
  </si>
  <si>
    <t>Dogecoin</t>
  </si>
  <si>
    <t>DOGE</t>
  </si>
  <si>
    <t>$0.1085</t>
  </si>
  <si>
    <t>0.08%</t>
  </si>
  <si>
    <t>$631,560,189</t>
  </si>
  <si>
    <t>154.17B</t>
  </si>
  <si>
    <t>Celestia</t>
  </si>
  <si>
    <t>TIA</t>
  </si>
  <si>
    <t>$0.4366</t>
  </si>
  <si>
    <t>0.07%</t>
  </si>
  <si>
    <t>$41,931,037</t>
  </si>
  <si>
    <t>915.33M</t>
  </si>
  <si>
    <t>First Digital USD</t>
  </si>
  <si>
    <t>FDUSD</t>
  </si>
  <si>
    <t>$0.9993</t>
  </si>
  <si>
    <t>$207,228,664</t>
  </si>
  <si>
    <t>399.73M</t>
  </si>
  <si>
    <t>Sun [New]</t>
  </si>
  <si>
    <t>SUN</t>
  </si>
  <si>
    <t>$0.02033</t>
  </si>
  <si>
    <t>0.04%</t>
  </si>
  <si>
    <t>$65,218,320</t>
  </si>
  <si>
    <t>19.22B</t>
  </si>
  <si>
    <t>Curve DAO Token</t>
  </si>
  <si>
    <t>CRV</t>
  </si>
  <si>
    <t>$0.2552</t>
  </si>
  <si>
    <t>$38,651,475</t>
  </si>
  <si>
    <t>1.5B</t>
  </si>
  <si>
    <t>币安人生</t>
  </si>
  <si>
    <t>$0.3823</t>
  </si>
  <si>
    <t>1.02%</t>
  </si>
  <si>
    <t>$13,327,681</t>
  </si>
  <si>
    <t>1B</t>
  </si>
  <si>
    <t>ether.fi</t>
  </si>
  <si>
    <t>ETHFI</t>
  </si>
  <si>
    <t>$0.4543</t>
  </si>
  <si>
    <t>0.49%</t>
  </si>
  <si>
    <t>$25,479,355</t>
  </si>
  <si>
    <t>835.96M</t>
  </si>
  <si>
    <t>Immutable</t>
  </si>
  <si>
    <t>IMX</t>
  </si>
  <si>
    <t>$0.1884</t>
  </si>
  <si>
    <t>0.10%</t>
  </si>
  <si>
    <t>$20,503,923</t>
  </si>
  <si>
    <t>2B</t>
  </si>
  <si>
    <t>DoubleZero</t>
  </si>
  <si>
    <t>2Z</t>
  </si>
  <si>
    <t>$0.1027</t>
  </si>
  <si>
    <t>$11,030,947</t>
  </si>
  <si>
    <t>3.47B</t>
  </si>
  <si>
    <t>BUILDon</t>
  </si>
  <si>
    <t>B</t>
  </si>
  <si>
    <t>$0.3512</t>
  </si>
  <si>
    <t>0.94%</t>
  </si>
  <si>
    <t>$43,376,749</t>
  </si>
  <si>
    <t>Gnosis</t>
  </si>
  <si>
    <t>GNO</t>
  </si>
  <si>
    <t>$132.97</t>
  </si>
  <si>
    <t>$1,606,123</t>
  </si>
  <si>
    <t>2.63M</t>
  </si>
  <si>
    <t>Rain</t>
  </si>
  <si>
    <t>RAIN</t>
  </si>
  <si>
    <t>$0.007492</t>
  </si>
  <si>
    <t>$27,298,130</t>
  </si>
  <si>
    <t>478.41B</t>
  </si>
  <si>
    <t>HTX</t>
  </si>
  <si>
    <t>$0.051966</t>
  </si>
  <si>
    <t>0.11%</t>
  </si>
  <si>
    <t>$68,780,736</t>
  </si>
  <si>
    <t>905.7T</t>
  </si>
  <si>
    <t>Falcon USD</t>
  </si>
  <si>
    <t>USDf</t>
  </si>
  <si>
    <t>$0.9975</t>
  </si>
  <si>
    <t>$290,443</t>
  </si>
  <si>
    <t>1.62B</t>
  </si>
  <si>
    <t>LAB</t>
  </si>
  <si>
    <t>$5.08</t>
  </si>
  <si>
    <t>0.31%</t>
  </si>
  <si>
    <t>$58,814,485</t>
  </si>
  <si>
    <t>309.95M</t>
  </si>
  <si>
    <t>Ondo US Dollar Yield</t>
  </si>
  <si>
    <t>USDY</t>
  </si>
  <si>
    <t>$1.13</t>
  </si>
  <si>
    <t>$45,186</t>
  </si>
  <si>
    <t>1.17B</t>
  </si>
  <si>
    <t>c8ntinuum</t>
  </si>
  <si>
    <t>CTM</t>
  </si>
  <si>
    <t>$0.2199</t>
  </si>
  <si>
    <t>0.29%</t>
  </si>
  <si>
    <t>$3,620,098</t>
  </si>
  <si>
    <t>4.45B</t>
  </si>
  <si>
    <t>Jupiter Perps LP</t>
  </si>
  <si>
    <t>JLP</t>
  </si>
  <si>
    <t>$4.11</t>
  </si>
  <si>
    <t>0.13%</t>
  </si>
  <si>
    <t>$4,438,616</t>
  </si>
  <si>
    <t>236.19M</t>
  </si>
  <si>
    <t>Beldex</t>
  </si>
  <si>
    <t>BDX</t>
  </si>
  <si>
    <t>$0.07961</t>
  </si>
  <si>
    <t>$16,767,802</t>
  </si>
  <si>
    <t>7.73B</t>
  </si>
  <si>
    <t>GHO</t>
  </si>
  <si>
    <t>$0.9995</t>
  </si>
  <si>
    <t>$401,865</t>
  </si>
  <si>
    <t>584M</t>
  </si>
  <si>
    <t>Usual USD</t>
  </si>
  <si>
    <t>USD0</t>
  </si>
  <si>
    <t>$0.9980</t>
  </si>
  <si>
    <t>$87,559</t>
  </si>
  <si>
    <t>566.51M</t>
  </si>
  <si>
    <t>Toshi</t>
  </si>
  <si>
    <t>TOSHI</t>
  </si>
  <si>
    <t>$0.0001952</t>
  </si>
  <si>
    <t>0.42%</t>
  </si>
  <si>
    <t>$15,492,616</t>
  </si>
  <si>
    <t>420.66B</t>
  </si>
  <si>
    <t>Astar</t>
  </si>
  <si>
    <t>ASTR</t>
  </si>
  <si>
    <t>$0.009379</t>
  </si>
  <si>
    <t>0.60%</t>
  </si>
  <si>
    <t>$2,642,773</t>
  </si>
  <si>
    <t>8.68B</t>
  </si>
  <si>
    <t>XPR Network</t>
  </si>
  <si>
    <t>XPR</t>
  </si>
  <si>
    <t>$0.002809</t>
  </si>
  <si>
    <t>0.21%</t>
  </si>
  <si>
    <t>$1,922,336</t>
  </si>
  <si>
    <t>28.98B</t>
  </si>
  <si>
    <t>GMX</t>
  </si>
  <si>
    <t>$7.80</t>
  </si>
  <si>
    <t>$4,855,720</t>
  </si>
  <si>
    <t>10.39M</t>
  </si>
  <si>
    <t>Nervos Network</t>
  </si>
  <si>
    <t>CKB</t>
  </si>
  <si>
    <t>$0.001650</t>
  </si>
  <si>
    <t>0.73%</t>
  </si>
  <si>
    <t>$5,028,571</t>
  </si>
  <si>
    <t>48.73B</t>
  </si>
  <si>
    <t>Tria</t>
  </si>
  <si>
    <t>TRIA</t>
  </si>
  <si>
    <t>$0.03706</t>
  </si>
  <si>
    <t>1.75%</t>
  </si>
  <si>
    <t>$15,872,071</t>
  </si>
  <si>
    <t>2.15B</t>
  </si>
  <si>
    <t>MYX Finance</t>
  </si>
  <si>
    <t>MYX</t>
  </si>
  <si>
    <t>$0.2680</t>
  </si>
  <si>
    <t>0.50%</t>
  </si>
  <si>
    <t>$12,593,650</t>
  </si>
  <si>
    <t>297.46M</t>
  </si>
  <si>
    <t>Fogo</t>
  </si>
  <si>
    <t>FOGO</t>
  </si>
  <si>
    <t>$0.02086</t>
  </si>
  <si>
    <t>1.24%</t>
  </si>
  <si>
    <t>$9,688,624</t>
  </si>
  <si>
    <t>3.81B</t>
  </si>
  <si>
    <t>Amp</t>
  </si>
  <si>
    <t>AMP</t>
  </si>
  <si>
    <t>$0.0009157</t>
  </si>
  <si>
    <t>$7,837,706</t>
  </si>
  <si>
    <t>86.78B</t>
  </si>
  <si>
    <t>Targon</t>
  </si>
  <si>
    <t>SN4</t>
  </si>
  <si>
    <t>$17.91</t>
  </si>
  <si>
    <t>0.66%</t>
  </si>
  <si>
    <t>$558,739</t>
  </si>
  <si>
    <t>4.41M</t>
  </si>
  <si>
    <t>OpenGradient</t>
  </si>
  <si>
    <t>OPG</t>
  </si>
  <si>
    <t>$0.2856</t>
  </si>
  <si>
    <t>$743,386,018</t>
  </si>
  <si>
    <t>190M</t>
  </si>
  <si>
    <t>Succinct</t>
  </si>
  <si>
    <t>PROVE</t>
  </si>
  <si>
    <t>$0.2781</t>
  </si>
  <si>
    <t>$7,210,561</t>
  </si>
  <si>
    <t>195M</t>
  </si>
  <si>
    <t>Mask Network</t>
  </si>
  <si>
    <t>MASK</t>
  </si>
  <si>
    <t>$0.5382</t>
  </si>
  <si>
    <t>$16,208,611</t>
  </si>
  <si>
    <t>100M</t>
  </si>
  <si>
    <t>Coinbase tokenized stock (xStock)</t>
  </si>
  <si>
    <t>COINX</t>
  </si>
  <si>
    <t>$201.91</t>
  </si>
  <si>
    <t>0.02%</t>
  </si>
  <si>
    <t>$1,920,230</t>
  </si>
  <si>
    <t>266.17K</t>
  </si>
  <si>
    <t>XYO</t>
  </si>
  <si>
    <t>$0.003907</t>
  </si>
  <si>
    <t>$4,921,622</t>
  </si>
  <si>
    <t>13.72B</t>
  </si>
  <si>
    <t>World Mobile Token</t>
  </si>
  <si>
    <t>WMTX</t>
  </si>
  <si>
    <t>$0.06285</t>
  </si>
  <si>
    <t>0.14%</t>
  </si>
  <si>
    <t>$12,747,747</t>
  </si>
  <si>
    <t>851.87M</t>
  </si>
  <si>
    <t>Marvell tokenized stock (xStock)</t>
  </si>
  <si>
    <t>MRVLX</t>
  </si>
  <si>
    <t>$170.15</t>
  </si>
  <si>
    <t>$103</t>
  </si>
  <si>
    <t>314.64K</t>
  </si>
  <si>
    <t>ssv.network</t>
  </si>
  <si>
    <t>SSV</t>
  </si>
  <si>
    <t>$3.09</t>
  </si>
  <si>
    <t>$13,868,687</t>
  </si>
  <si>
    <t>17.24M</t>
  </si>
  <si>
    <t>Micron Technology Tokenized Stock (Ondo)</t>
  </si>
  <si>
    <t>MUon</t>
  </si>
  <si>
    <t>$761.75</t>
  </si>
  <si>
    <t>0.25%</t>
  </si>
  <si>
    <t>$3,023,657</t>
  </si>
  <si>
    <t>69.98K</t>
  </si>
  <si>
    <t>Pythia</t>
  </si>
  <si>
    <t>PYTHIA</t>
  </si>
  <si>
    <t>$0.05268</t>
  </si>
  <si>
    <t>1.63%</t>
  </si>
  <si>
    <t>$1,408,311</t>
  </si>
  <si>
    <t>998.15M</t>
  </si>
  <si>
    <t>Dogelon Mars</t>
  </si>
  <si>
    <t>ELON</t>
  </si>
  <si>
    <t>$0.073951</t>
  </si>
  <si>
    <t>$2,813,025</t>
  </si>
  <si>
    <t>998.58T</t>
  </si>
  <si>
    <t>Memecoin</t>
  </si>
  <si>
    <t>MEME</t>
  </si>
  <si>
    <t>$0.0006212</t>
  </si>
  <si>
    <t>0.37%</t>
  </si>
  <si>
    <t>$7,257,215</t>
  </si>
  <si>
    <t>63.28B</t>
  </si>
  <si>
    <t>Powerledger</t>
  </si>
  <si>
    <t>POWR</t>
  </si>
  <si>
    <t>$0.06901</t>
  </si>
  <si>
    <t>0.20%</t>
  </si>
  <si>
    <t>$3,201,066</t>
  </si>
  <si>
    <t>568.13M</t>
  </si>
  <si>
    <t>Espresso</t>
  </si>
  <si>
    <t>ESP</t>
  </si>
  <si>
    <t>$0.07507</t>
  </si>
  <si>
    <t>$10,865,606</t>
  </si>
  <si>
    <t>520.55M</t>
  </si>
  <si>
    <t>CARV</t>
  </si>
  <si>
    <t>$0.06615</t>
  </si>
  <si>
    <t>$8,589,175</t>
  </si>
  <si>
    <t>589M</t>
  </si>
  <si>
    <t>Hyperlane</t>
  </si>
  <si>
    <t>HYPER</t>
  </si>
  <si>
    <t>$0.1150</t>
  </si>
  <si>
    <t>$9,253,493</t>
  </si>
  <si>
    <t>338.17M</t>
  </si>
  <si>
    <t>wojak (wojakcto.com)</t>
  </si>
  <si>
    <t>WOJAK</t>
  </si>
  <si>
    <t>$0.061265</t>
  </si>
  <si>
    <t>1.59%</t>
  </si>
  <si>
    <t>$9,621,783</t>
  </si>
  <si>
    <t>305.92T</t>
  </si>
  <si>
    <t>Orbs</t>
  </si>
  <si>
    <t>ORBS</t>
  </si>
  <si>
    <t>$0.008878</t>
  </si>
  <si>
    <t>$3,170,357</t>
  </si>
  <si>
    <t>4.37B</t>
  </si>
  <si>
    <t>GMT</t>
  </si>
  <si>
    <t>$0.01243</t>
  </si>
  <si>
    <t>0.56%</t>
  </si>
  <si>
    <t>$85,139,946</t>
  </si>
  <si>
    <t>3.11B</t>
  </si>
  <si>
    <t>IOST</t>
  </si>
  <si>
    <t>$0.001168</t>
  </si>
  <si>
    <t>$5,733,599</t>
  </si>
  <si>
    <t>32.91B</t>
  </si>
  <si>
    <t>Spell Token</t>
  </si>
  <si>
    <t>SPELL</t>
  </si>
  <si>
    <t>$0.0001789</t>
  </si>
  <si>
    <t>0.22%</t>
  </si>
  <si>
    <t>$3,509,980</t>
  </si>
  <si>
    <t>171.51B</t>
  </si>
  <si>
    <t>Klickl Token</t>
  </si>
  <si>
    <t>KLK</t>
  </si>
  <si>
    <t>$0.3068</t>
  </si>
  <si>
    <t>$210,995</t>
  </si>
  <si>
    <t>KRAQ Tokenised Stock (xStock)</t>
  </si>
  <si>
    <t>KRAQx</t>
  </si>
  <si>
    <t>$10.12</t>
  </si>
  <si>
    <t>$5</t>
  </si>
  <si>
    <t>3.02M</t>
  </si>
  <si>
    <t>Orbler</t>
  </si>
  <si>
    <t>ORBR</t>
  </si>
  <si>
    <t>$0.03004</t>
  </si>
  <si>
    <t>$6,262</t>
  </si>
  <si>
    <t>1.01B</t>
  </si>
  <si>
    <t>Autonomi</t>
  </si>
  <si>
    <t>ANT</t>
  </si>
  <si>
    <t>$0.09249</t>
  </si>
  <si>
    <t>1.05%</t>
  </si>
  <si>
    <t>$522,065</t>
  </si>
  <si>
    <t>328.21M</t>
  </si>
  <si>
    <t>Xertra</t>
  </si>
  <si>
    <t>STRAX</t>
  </si>
  <si>
    <t>$0.01399</t>
  </si>
  <si>
    <t>$1,688,495</t>
  </si>
  <si>
    <t>2.16B</t>
  </si>
  <si>
    <t>Chintai</t>
  </si>
  <si>
    <t>CHEX</t>
  </si>
  <si>
    <t>$0.02415</t>
  </si>
  <si>
    <t>$151,129</t>
  </si>
  <si>
    <t>1.24B</t>
  </si>
  <si>
    <t>iShares Silver Trust Tokenized ETF (Ondo)</t>
  </si>
  <si>
    <t>SLVon</t>
  </si>
  <si>
    <t>$72.70</t>
  </si>
  <si>
    <t>$3,095,757</t>
  </si>
  <si>
    <t>414.49K</t>
  </si>
  <si>
    <t>Rujira</t>
  </si>
  <si>
    <t>RUJI</t>
  </si>
  <si>
    <t>$0.3768</t>
  </si>
  <si>
    <t>$8,862</t>
  </si>
  <si>
    <t>79.95M</t>
  </si>
  <si>
    <t>Particle Network</t>
  </si>
  <si>
    <t>PARTI</t>
  </si>
  <si>
    <t>$0.05577</t>
  </si>
  <si>
    <t>$25,097,317</t>
  </si>
  <si>
    <t>538.94M</t>
  </si>
  <si>
    <t>zkPass</t>
  </si>
  <si>
    <t>ZKP</t>
  </si>
  <si>
    <t>$0.08999</t>
  </si>
  <si>
    <t>$5,008,209</t>
  </si>
  <si>
    <t>268.33M</t>
  </si>
  <si>
    <t>Collect on Fanable</t>
  </si>
  <si>
    <t>COLLECT</t>
  </si>
  <si>
    <t>$0.04465</t>
  </si>
  <si>
    <t>3.13%</t>
  </si>
  <si>
    <t>$8,545,079</t>
  </si>
  <si>
    <t>537M</t>
  </si>
  <si>
    <t>Orochi Network</t>
  </si>
  <si>
    <t>ON</t>
  </si>
  <si>
    <t>$0.1659</t>
  </si>
  <si>
    <t>2.89%</t>
  </si>
  <si>
    <t>$6,562,097</t>
  </si>
  <si>
    <t>144.27M</t>
  </si>
  <si>
    <t>SuperWalk</t>
  </si>
  <si>
    <t>GRND</t>
  </si>
  <si>
    <t>$0.02451</t>
  </si>
  <si>
    <t>$212,975</t>
  </si>
  <si>
    <t>975.55M</t>
  </si>
  <si>
    <t>Boundless</t>
  </si>
  <si>
    <t>ZKC</t>
  </si>
  <si>
    <t>$0.08226</t>
  </si>
  <si>
    <t>0.52%</t>
  </si>
  <si>
    <t>$6,936,081</t>
  </si>
  <si>
    <t>290.64M</t>
  </si>
  <si>
    <t>OLAXBT</t>
  </si>
  <si>
    <t>AIO</t>
  </si>
  <si>
    <t>$0.1034</t>
  </si>
  <si>
    <t>$901,419</t>
  </si>
  <si>
    <t>230.25M</t>
  </si>
  <si>
    <t>Anoma</t>
  </si>
  <si>
    <t>XAN</t>
  </si>
  <si>
    <t>$0.009501</t>
  </si>
  <si>
    <t>$3,276,003</t>
  </si>
  <si>
    <t>2.5B</t>
  </si>
  <si>
    <t>QuarkChain</t>
  </si>
  <si>
    <t>QKC</t>
  </si>
  <si>
    <t>$0.003283</t>
  </si>
  <si>
    <t>$1,504,867</t>
  </si>
  <si>
    <t>7.23B</t>
  </si>
  <si>
    <t>Celer Network</t>
  </si>
  <si>
    <t>CELR</t>
  </si>
  <si>
    <t>$0.003039</t>
  </si>
  <si>
    <t>$3,982,328</t>
  </si>
  <si>
    <t>7.8B</t>
  </si>
  <si>
    <t>sUSD</t>
  </si>
  <si>
    <t>SUSD</t>
  </si>
  <si>
    <t>$0.7204</t>
  </si>
  <si>
    <t>0.16%</t>
  </si>
  <si>
    <t>$43,268</t>
  </si>
  <si>
    <t>32.87M</t>
  </si>
  <si>
    <t>Apertum</t>
  </si>
  <si>
    <t>APTM</t>
  </si>
  <si>
    <t>$0.1961</t>
  </si>
  <si>
    <t>0.19%</t>
  </si>
  <si>
    <t>$1,005,056</t>
  </si>
  <si>
    <t>92.7M</t>
  </si>
  <si>
    <t>Paris Saint-Germain Fan Token</t>
  </si>
  <si>
    <t>PSG</t>
  </si>
  <si>
    <t>$1.18</t>
  </si>
  <si>
    <t>1.65%</t>
  </si>
  <si>
    <t>$40,433,535</t>
  </si>
  <si>
    <t>15.28M</t>
  </si>
  <si>
    <t>Bluwhale</t>
  </si>
  <si>
    <t>BLUAI</t>
  </si>
  <si>
    <t>$0.01475</t>
  </si>
  <si>
    <t>$4,471,482</t>
  </si>
  <si>
    <t>1.22B</t>
  </si>
  <si>
    <t>Newton Protocol</t>
  </si>
  <si>
    <t>NEWT</t>
  </si>
  <si>
    <t>$0.08415</t>
  </si>
  <si>
    <t>0.91%</t>
  </si>
  <si>
    <t>$8,197,930</t>
  </si>
  <si>
    <t>215M</t>
  </si>
  <si>
    <t>Power Protocol</t>
  </si>
  <si>
    <t>POWER</t>
  </si>
  <si>
    <t>$0.08606</t>
  </si>
  <si>
    <t>0.33%</t>
  </si>
  <si>
    <t>$1,345,010</t>
  </si>
  <si>
    <t>210M</t>
  </si>
  <si>
    <t>Forest Protocol</t>
  </si>
  <si>
    <t>FOREST</t>
  </si>
  <si>
    <t>$0.1694</t>
  </si>
  <si>
    <t>11.72%</t>
  </si>
  <si>
    <t>$7,861,945</t>
  </si>
  <si>
    <t>106.62M</t>
  </si>
  <si>
    <t>HeyElsa</t>
  </si>
  <si>
    <t>ELSA</t>
  </si>
  <si>
    <t>$0.07832</t>
  </si>
  <si>
    <t>0.41%</t>
  </si>
  <si>
    <t>$5,784,916</t>
  </si>
  <si>
    <t>228.98M</t>
  </si>
  <si>
    <t>Fulcrom Finance</t>
  </si>
  <si>
    <t>FUL</t>
  </si>
  <si>
    <t>$0.001059</t>
  </si>
  <si>
    <t>2.30%</t>
  </si>
  <si>
    <t>$2,845</t>
  </si>
  <si>
    <t>16.67B</t>
  </si>
  <si>
    <t>Lumia</t>
  </si>
  <si>
    <t>LUMIA</t>
  </si>
  <si>
    <t>$0.1251</t>
  </si>
  <si>
    <t>1.12%</t>
  </si>
  <si>
    <t>$11,989,043</t>
  </si>
  <si>
    <t>140.84M</t>
  </si>
  <si>
    <t>Vine Coin</t>
  </si>
  <si>
    <t>VINE</t>
  </si>
  <si>
    <t>$0.01762</t>
  </si>
  <si>
    <t>0.72%</t>
  </si>
  <si>
    <t>$3,887,797</t>
  </si>
  <si>
    <t>999.99M</t>
  </si>
  <si>
    <t>Pepecoin</t>
  </si>
  <si>
    <t>PEP</t>
  </si>
  <si>
    <t>$0.0001336</t>
  </si>
  <si>
    <t>3.83%</t>
  </si>
  <si>
    <t>$111,960</t>
  </si>
  <si>
    <t>102.77B</t>
  </si>
  <si>
    <t>Fusionist</t>
  </si>
  <si>
    <t>ACE</t>
  </si>
  <si>
    <t>$0.1385</t>
  </si>
  <si>
    <t>0.67%</t>
  </si>
  <si>
    <t>$31,685,843</t>
  </si>
  <si>
    <t>98.79M</t>
  </si>
  <si>
    <t>Honeywell tokenized stock (xStock)</t>
  </si>
  <si>
    <t>HONX</t>
  </si>
  <si>
    <t>$217.14</t>
  </si>
  <si>
    <t>$615,356</t>
  </si>
  <si>
    <t>63.01K</t>
  </si>
  <si>
    <t>Recall</t>
  </si>
  <si>
    <t>RECALL</t>
  </si>
  <si>
    <t>$0.05414</t>
  </si>
  <si>
    <t>0.61%</t>
  </si>
  <si>
    <t>$3,115,828</t>
  </si>
  <si>
    <t>252.59M</t>
  </si>
  <si>
    <t>AbbVie tokenized stock (xStock)</t>
  </si>
  <si>
    <t>ABBVX</t>
  </si>
  <si>
    <t>$201.76</t>
  </si>
  <si>
    <t>$298</t>
  </si>
  <si>
    <t>67.64K</t>
  </si>
  <si>
    <t>Hunt Town</t>
  </si>
  <si>
    <t>HUNT</t>
  </si>
  <si>
    <t>$0.1079</t>
  </si>
  <si>
    <t>$131,726</t>
  </si>
  <si>
    <t>126.16M</t>
  </si>
  <si>
    <t>Bless</t>
  </si>
  <si>
    <t>BLESS</t>
  </si>
  <si>
    <t>$0.007000</t>
  </si>
  <si>
    <t>$2,791,719</t>
  </si>
  <si>
    <t>1.94B</t>
  </si>
  <si>
    <t>Metaplex</t>
  </si>
  <si>
    <t>MPLX</t>
  </si>
  <si>
    <t>$0.02634</t>
  </si>
  <si>
    <t>0.35%</t>
  </si>
  <si>
    <t>$490,740</t>
  </si>
  <si>
    <t>515.73M</t>
  </si>
  <si>
    <t>Boba Network</t>
  </si>
  <si>
    <t>BOBA</t>
  </si>
  <si>
    <t>$0.02752</t>
  </si>
  <si>
    <t>$4,350,968</t>
  </si>
  <si>
    <t>493.58M</t>
  </si>
  <si>
    <t>MWX Token</t>
  </si>
  <si>
    <t>MWXT</t>
  </si>
  <si>
    <t>$0.08071</t>
  </si>
  <si>
    <t>$458,524</t>
  </si>
  <si>
    <t>167.84M</t>
  </si>
  <si>
    <t>Balancer</t>
  </si>
  <si>
    <t>BAL</t>
  </si>
  <si>
    <t>$0.1552</t>
  </si>
  <si>
    <t>0.36%</t>
  </si>
  <si>
    <t>$1,625,193</t>
  </si>
  <si>
    <t>69.78M</t>
  </si>
  <si>
    <t>Apu Apustaja</t>
  </si>
  <si>
    <t>APU</t>
  </si>
  <si>
    <t>$0.00003193</t>
  </si>
  <si>
    <t>$439,089</t>
  </si>
  <si>
    <t>337.89B</t>
  </si>
  <si>
    <t>Energy Web Token</t>
  </si>
  <si>
    <t>EWT</t>
  </si>
  <si>
    <t>$0.3586</t>
  </si>
  <si>
    <t>$157,215</t>
  </si>
  <si>
    <t>30.06M</t>
  </si>
  <si>
    <t>Oracle Tokenized Stock (Ondo)</t>
  </si>
  <si>
    <t>ORCLon</t>
  </si>
  <si>
    <t>$195.59</t>
  </si>
  <si>
    <t>0.17%</t>
  </si>
  <si>
    <t>$3,076,178</t>
  </si>
  <si>
    <t>55.06K</t>
  </si>
  <si>
    <t>Abbott tokenized stock (xStock)</t>
  </si>
  <si>
    <t>ABTX</t>
  </si>
  <si>
    <t>$85.03</t>
  </si>
  <si>
    <t>$20</t>
  </si>
  <si>
    <t>126.6K</t>
  </si>
  <si>
    <t>Forta</t>
  </si>
  <si>
    <t>FORT</t>
  </si>
  <si>
    <t>$0.01678</t>
  </si>
  <si>
    <t>$838,362</t>
  </si>
  <si>
    <t>634.27M</t>
  </si>
  <si>
    <t>Alpine F1 Team Fan Token</t>
  </si>
  <si>
    <t>ALPINE</t>
  </si>
  <si>
    <t>$0.4984</t>
  </si>
  <si>
    <t>0.92%</t>
  </si>
  <si>
    <t>$4,601,298</t>
  </si>
  <si>
    <t>21.33M</t>
  </si>
  <si>
    <t>Galatasaray Fan Token</t>
  </si>
  <si>
    <t>GAL</t>
  </si>
  <si>
    <t>$1.32</t>
  </si>
  <si>
    <t>$16,003,151</t>
  </si>
  <si>
    <t>7.97M</t>
  </si>
  <si>
    <t>Ika</t>
  </si>
  <si>
    <t>IKA</t>
  </si>
  <si>
    <t>$0.003535</t>
  </si>
  <si>
    <t>$624,500</t>
  </si>
  <si>
    <t>3B</t>
  </si>
  <si>
    <t>Ellipsis</t>
  </si>
  <si>
    <t>EPS</t>
  </si>
  <si>
    <t>$0.01461</t>
  </si>
  <si>
    <t>N/A</t>
  </si>
  <si>
    <t>723.7M</t>
  </si>
  <si>
    <t>Wecan Group</t>
  </si>
  <si>
    <t>WECAN</t>
  </si>
  <si>
    <t>$0.001366</t>
  </si>
  <si>
    <t>$37,378</t>
  </si>
  <si>
    <t>6B</t>
  </si>
  <si>
    <t>OVERTAKE</t>
  </si>
  <si>
    <t>TAKE</t>
  </si>
  <si>
    <t>$0.03034</t>
  </si>
  <si>
    <t>0.27%</t>
  </si>
  <si>
    <t>$1,026,059</t>
  </si>
  <si>
    <t>269.48M</t>
  </si>
  <si>
    <t>BFG Token</t>
  </si>
  <si>
    <t>BFG</t>
  </si>
  <si>
    <t>$0.007249</t>
  </si>
  <si>
    <t>1.12B</t>
  </si>
  <si>
    <t>Hydranet</t>
  </si>
  <si>
    <t>HDN</t>
  </si>
  <si>
    <t>$0.04327</t>
  </si>
  <si>
    <t>$131,873</t>
  </si>
  <si>
    <t>188.01M</t>
  </si>
  <si>
    <t>Green Satoshi Token (SOL)</t>
  </si>
  <si>
    <t>GST</t>
  </si>
  <si>
    <t>$0.001719</t>
  </si>
  <si>
    <t>$849,551</t>
  </si>
  <si>
    <t>4.72B</t>
  </si>
  <si>
    <t>PumpBTC (Governance token)</t>
  </si>
  <si>
    <t>PUMP</t>
  </si>
  <si>
    <t>$0.01667</t>
  </si>
  <si>
    <t>$1,597,872</t>
  </si>
  <si>
    <t>485.07M</t>
  </si>
  <si>
    <t>Fartboy</t>
  </si>
  <si>
    <t>FARTBOY</t>
  </si>
  <si>
    <t>$0.008084</t>
  </si>
  <si>
    <t>1.73%</t>
  </si>
  <si>
    <t>$515,608</t>
  </si>
  <si>
    <t>999.44M</t>
  </si>
  <si>
    <t>Cratos</t>
  </si>
  <si>
    <t>CRTS</t>
  </si>
  <si>
    <t>$0.0001194</t>
  </si>
  <si>
    <t>$486,718</t>
  </si>
  <si>
    <t>67.54B</t>
  </si>
  <si>
    <t>Build On BNB</t>
  </si>
  <si>
    <t>BOB</t>
  </si>
  <si>
    <t>$0.071916</t>
  </si>
  <si>
    <t>0.78%</t>
  </si>
  <si>
    <t>$3,858,925</t>
  </si>
  <si>
    <t>420.69T</t>
  </si>
  <si>
    <t>Heima</t>
  </si>
  <si>
    <t>HEI</t>
  </si>
  <si>
    <t>$0.09149</t>
  </si>
  <si>
    <t>0.06%</t>
  </si>
  <si>
    <t>$1,531,126</t>
  </si>
  <si>
    <t>88.02M</t>
  </si>
  <si>
    <t>Occidental Petroleum Tokenized Stock (Ondo)</t>
  </si>
  <si>
    <t>OXYon</t>
  </si>
  <si>
    <t>$53.51</t>
  </si>
  <si>
    <t>$2,421,276</t>
  </si>
  <si>
    <t>113.88K</t>
  </si>
  <si>
    <t>Purple Pepe</t>
  </si>
  <si>
    <t>$PURPE</t>
  </si>
  <si>
    <t>$0.00001460</t>
  </si>
  <si>
    <t>$262,754</t>
  </si>
  <si>
    <t>417.21B</t>
  </si>
  <si>
    <t>Contentos</t>
  </si>
  <si>
    <t>COS</t>
  </si>
  <si>
    <t>$0.001175</t>
  </si>
  <si>
    <t>$1,752,311</t>
  </si>
  <si>
    <t>5.17B</t>
  </si>
  <si>
    <t>Creta World</t>
  </si>
  <si>
    <t>CRETA</t>
  </si>
  <si>
    <t>$0.002180</t>
  </si>
  <si>
    <t>0.24%</t>
  </si>
  <si>
    <t>$117,839</t>
  </si>
  <si>
    <t>2.79B</t>
  </si>
  <si>
    <t>Propchain</t>
  </si>
  <si>
    <t>PROPC</t>
  </si>
  <si>
    <t>$0.1418</t>
  </si>
  <si>
    <t>1.04%</t>
  </si>
  <si>
    <t>$159,795</t>
  </si>
  <si>
    <t>42.87M</t>
  </si>
  <si>
    <t>Solana Name Service</t>
  </si>
  <si>
    <t>SNS</t>
  </si>
  <si>
    <t>$0.001346</t>
  </si>
  <si>
    <t>1.31%</t>
  </si>
  <si>
    <t>$53,778</t>
  </si>
  <si>
    <t>4.5B</t>
  </si>
  <si>
    <t>MonaCoin</t>
  </si>
  <si>
    <t>MONA</t>
  </si>
  <si>
    <t>$0.09196</t>
  </si>
  <si>
    <t>0.86%</t>
  </si>
  <si>
    <t>$10,399</t>
  </si>
  <si>
    <t>65.72M</t>
  </si>
  <si>
    <t>KAN</t>
  </si>
  <si>
    <t>$0.0006208</t>
  </si>
  <si>
    <t>$89,488</t>
  </si>
  <si>
    <t>9.68B</t>
  </si>
  <si>
    <t>CateCoin</t>
  </si>
  <si>
    <t>CATE</t>
  </si>
  <si>
    <t>$0.061045</t>
  </si>
  <si>
    <t>$363,958</t>
  </si>
  <si>
    <t>57.27T</t>
  </si>
  <si>
    <t>Manyu (manyushiba.com)</t>
  </si>
  <si>
    <t>MANYU</t>
  </si>
  <si>
    <t>$0.085964</t>
  </si>
  <si>
    <t>$2,924,315</t>
  </si>
  <si>
    <t>1P</t>
  </si>
  <si>
    <t>Planet IX(formerly IX token)</t>
  </si>
  <si>
    <t>IXT</t>
  </si>
  <si>
    <t>$0.03576</t>
  </si>
  <si>
    <t>0.43%</t>
  </si>
  <si>
    <t>$682</t>
  </si>
  <si>
    <t>131.43M</t>
  </si>
  <si>
    <t>Not Pixel</t>
  </si>
  <si>
    <t>PX</t>
  </si>
  <si>
    <t>$0.02370</t>
  </si>
  <si>
    <t>$14,121</t>
  </si>
  <si>
    <t>195.42M</t>
  </si>
  <si>
    <t>401jK</t>
  </si>
  <si>
    <t>401JK</t>
  </si>
  <si>
    <t>$0.004632</t>
  </si>
  <si>
    <t>$79,692</t>
  </si>
  <si>
    <t>MileVerse</t>
  </si>
  <si>
    <t>MVC</t>
  </si>
  <si>
    <t>$0.001671</t>
  </si>
  <si>
    <t>0.81%</t>
  </si>
  <si>
    <t>$67,565</t>
  </si>
  <si>
    <t>2.76B</t>
  </si>
  <si>
    <t>Unibright</t>
  </si>
  <si>
    <t>UBT</t>
  </si>
  <si>
    <t>$0.03073</t>
  </si>
  <si>
    <t>$2</t>
  </si>
  <si>
    <t>149.99M</t>
  </si>
  <si>
    <t>StrikeBit AI</t>
  </si>
  <si>
    <t>STRIKE</t>
  </si>
  <si>
    <t>$0.02193</t>
  </si>
  <si>
    <t>$170,407</t>
  </si>
  <si>
    <t>209.9M</t>
  </si>
  <si>
    <t>Sentio</t>
  </si>
  <si>
    <t>ST</t>
  </si>
  <si>
    <t>$0.08174</t>
  </si>
  <si>
    <t>$489,376,629</t>
  </si>
  <si>
    <t>56M</t>
  </si>
  <si>
    <t>XBorg</t>
  </si>
  <si>
    <t>XBG</t>
  </si>
  <si>
    <t>$0.01912</t>
  </si>
  <si>
    <t>$84,311</t>
  </si>
  <si>
    <t>238.67M</t>
  </si>
  <si>
    <t>DeLorean</t>
  </si>
  <si>
    <t>DMC</t>
  </si>
  <si>
    <t>$0.0006947</t>
  </si>
  <si>
    <t>$2,935,208</t>
  </si>
  <si>
    <t>6.51B</t>
  </si>
  <si>
    <t>ProShares UltraPro QQQ Tokenized Stock (Ondo)</t>
  </si>
  <si>
    <t>TQQQon</t>
  </si>
  <si>
    <t>$76.00</t>
  </si>
  <si>
    <t>$3,866,702</t>
  </si>
  <si>
    <t>59.4K</t>
  </si>
  <si>
    <t>PIBBLE</t>
  </si>
  <si>
    <t>PIB</t>
  </si>
  <si>
    <t>$0.0001207</t>
  </si>
  <si>
    <t>$25,011</t>
  </si>
  <si>
    <t>29.05B</t>
  </si>
  <si>
    <t>Fei USD</t>
  </si>
  <si>
    <t>FEI</t>
  </si>
  <si>
    <t>$0.9953</t>
  </si>
  <si>
    <t>$3,442</t>
  </si>
  <si>
    <t>3.51M</t>
  </si>
  <si>
    <t>Myro</t>
  </si>
  <si>
    <t>MYRO</t>
  </si>
  <si>
    <t>$0.003704</t>
  </si>
  <si>
    <t>0.80%</t>
  </si>
  <si>
    <t>$692,473</t>
  </si>
  <si>
    <t>944.2M</t>
  </si>
  <si>
    <t>Arowana</t>
  </si>
  <si>
    <t>ARW</t>
  </si>
  <si>
    <t>$0.1520</t>
  </si>
  <si>
    <t>$18,862</t>
  </si>
  <si>
    <t>22.91M</t>
  </si>
  <si>
    <t>Alibaba Tokenized Stock (Ondo)</t>
  </si>
  <si>
    <t>BABAon</t>
  </si>
  <si>
    <t>$140.13</t>
  </si>
  <si>
    <t>0.05%</t>
  </si>
  <si>
    <t>$3,816,417</t>
  </si>
  <si>
    <t>24.72K</t>
  </si>
  <si>
    <t>Beam</t>
  </si>
  <si>
    <t>BEAM</t>
  </si>
  <si>
    <t>$0.02295</t>
  </si>
  <si>
    <t>$70,547</t>
  </si>
  <si>
    <t>150.75M</t>
  </si>
  <si>
    <t>zkVerify</t>
  </si>
  <si>
    <t>VFY</t>
  </si>
  <si>
    <t>$0.009532</t>
  </si>
  <si>
    <t>$331,370</t>
  </si>
  <si>
    <t>361.28M</t>
  </si>
  <si>
    <t>DRX Token</t>
  </si>
  <si>
    <t>DRX</t>
  </si>
  <si>
    <t>$0.005177</t>
  </si>
  <si>
    <t>$18,302</t>
  </si>
  <si>
    <t>664M</t>
  </si>
  <si>
    <t>Xterio</t>
  </si>
  <si>
    <t>XTER</t>
  </si>
  <si>
    <t>$0.01748</t>
  </si>
  <si>
    <t>$2,228,741</t>
  </si>
  <si>
    <t>196.07M</t>
  </si>
  <si>
    <t>Nine Chronicles</t>
  </si>
  <si>
    <t>WNCG</t>
  </si>
  <si>
    <t>$0.005604</t>
  </si>
  <si>
    <t>0.34%</t>
  </si>
  <si>
    <t>$183,001</t>
  </si>
  <si>
    <t>608.35M</t>
  </si>
  <si>
    <t>CEEK VR</t>
  </si>
  <si>
    <t>CEEK</t>
  </si>
  <si>
    <t>$0.003449</t>
  </si>
  <si>
    <t>0.90%</t>
  </si>
  <si>
    <t>$79,437</t>
  </si>
  <si>
    <t>805.71M</t>
  </si>
  <si>
    <t>SLIMEX</t>
  </si>
  <si>
    <t>SLX</t>
  </si>
  <si>
    <t>$0.001602</t>
  </si>
  <si>
    <t>0.12%</t>
  </si>
  <si>
    <t>$488,742</t>
  </si>
  <si>
    <t>1.73B</t>
  </si>
  <si>
    <t>DAOBase</t>
  </si>
  <si>
    <t>BEE</t>
  </si>
  <si>
    <t>$0.01591</t>
  </si>
  <si>
    <t>$906</t>
  </si>
  <si>
    <t>173.7M</t>
  </si>
  <si>
    <t>MANEKI</t>
  </si>
  <si>
    <t>$0.0003119</t>
  </si>
  <si>
    <t>$138,487</t>
  </si>
  <si>
    <t>8.85B</t>
  </si>
  <si>
    <t>Chevron Tokenized Stock (Ondo)</t>
  </si>
  <si>
    <t>CVXon</t>
  </si>
  <si>
    <t>$184.44</t>
  </si>
  <si>
    <t>$2,435,016</t>
  </si>
  <si>
    <t>14.98K</t>
  </si>
  <si>
    <t>Reef</t>
  </si>
  <si>
    <t>REEF</t>
  </si>
  <si>
    <t>$0.00007611</t>
  </si>
  <si>
    <t>$738,686</t>
  </si>
  <si>
    <t>36.27B</t>
  </si>
  <si>
    <t>NUMINE</t>
  </si>
  <si>
    <t>NUMI</t>
  </si>
  <si>
    <t>$0.01324</t>
  </si>
  <si>
    <t>1.18%</t>
  </si>
  <si>
    <t>$203,246</t>
  </si>
  <si>
    <t>208.34M</t>
  </si>
  <si>
    <t>Devve</t>
  </si>
  <si>
    <t>DEVVE</t>
  </si>
  <si>
    <t>$0.02851</t>
  </si>
  <si>
    <t>2.74%</t>
  </si>
  <si>
    <t>$263,052</t>
  </si>
  <si>
    <t>96.44M</t>
  </si>
  <si>
    <t>Foxsy AI</t>
  </si>
  <si>
    <t>FOXSY</t>
  </si>
  <si>
    <t>$0.003061</t>
  </si>
  <si>
    <t>$306,507</t>
  </si>
  <si>
    <t>896.56M</t>
  </si>
  <si>
    <t>League of Traders</t>
  </si>
  <si>
    <t>LOT</t>
  </si>
  <si>
    <t>$0.007500</t>
  </si>
  <si>
    <t>$179,594</t>
  </si>
  <si>
    <t>365.83M</t>
  </si>
  <si>
    <t>Altcoinist</t>
  </si>
  <si>
    <t>ALTT</t>
  </si>
  <si>
    <t>$0.009157</t>
  </si>
  <si>
    <t>$8,587</t>
  </si>
  <si>
    <t>245M</t>
  </si>
  <si>
    <t>Symbiosis</t>
  </si>
  <si>
    <t>SIS</t>
  </si>
  <si>
    <t>$0.02310</t>
  </si>
  <si>
    <t>$324,150</t>
  </si>
  <si>
    <t>96.97M</t>
  </si>
  <si>
    <t>Netflix tokenized stock (xStock)</t>
  </si>
  <si>
    <t>NFLXX</t>
  </si>
  <si>
    <t>$894.78</t>
  </si>
  <si>
    <t>$923,157</t>
  </si>
  <si>
    <t>2.49K</t>
  </si>
  <si>
    <t>SHPING</t>
  </si>
  <si>
    <t>$0.0009751</t>
  </si>
  <si>
    <t>$225,781</t>
  </si>
  <si>
    <t>2.28B</t>
  </si>
  <si>
    <t>Hathor</t>
  </si>
  <si>
    <t>HTR</t>
  </si>
  <si>
    <t>$0.004314</t>
  </si>
  <si>
    <t>$67,570</t>
  </si>
  <si>
    <t>515M</t>
  </si>
  <si>
    <t>MILC Platform</t>
  </si>
  <si>
    <t>MLT</t>
  </si>
  <si>
    <t>$0.01783</t>
  </si>
  <si>
    <t>$2,146</t>
  </si>
  <si>
    <t>124.42M</t>
  </si>
  <si>
    <t>Pirate Nation</t>
  </si>
  <si>
    <t>PIRATE</t>
  </si>
  <si>
    <t>$0.004122</t>
  </si>
  <si>
    <t>$123,024</t>
  </si>
  <si>
    <t>535.21M</t>
  </si>
  <si>
    <t>TaleX</t>
  </si>
  <si>
    <t>X</t>
  </si>
  <si>
    <t>$0.01466</t>
  </si>
  <si>
    <t>0.46%</t>
  </si>
  <si>
    <t>$72,292</t>
  </si>
  <si>
    <t>150M</t>
  </si>
  <si>
    <t>Reservoir</t>
  </si>
  <si>
    <t>DAM</t>
  </si>
  <si>
    <t>$0.01098</t>
  </si>
  <si>
    <t>1.20%</t>
  </si>
  <si>
    <t>$190,835</t>
  </si>
  <si>
    <t>199.99M</t>
  </si>
  <si>
    <t>Project WITH</t>
  </si>
  <si>
    <t>WIKEN</t>
  </si>
  <si>
    <t>$0.002073</t>
  </si>
  <si>
    <t>2.20%</t>
  </si>
  <si>
    <t>$90,770</t>
  </si>
  <si>
    <t>1.05B</t>
  </si>
  <si>
    <t>Games for a Living</t>
  </si>
  <si>
    <t>GFAL</t>
  </si>
  <si>
    <t>$0.0004498</t>
  </si>
  <si>
    <t>14.63%</t>
  </si>
  <si>
    <t>$45</t>
  </si>
  <si>
    <t>3.99B</t>
  </si>
  <si>
    <t>NuNet</t>
  </si>
  <si>
    <t>NTX</t>
  </si>
  <si>
    <t>$0.003558</t>
  </si>
  <si>
    <t>$94,995</t>
  </si>
  <si>
    <t>504.08M</t>
  </si>
  <si>
    <t>Pipe Network</t>
  </si>
  <si>
    <t>PIPE</t>
  </si>
  <si>
    <t>$0.01793</t>
  </si>
  <si>
    <t>$40,586</t>
  </si>
  <si>
    <t>Kori The Pom</t>
  </si>
  <si>
    <t>KORI</t>
  </si>
  <si>
    <t>$0.001789</t>
  </si>
  <si>
    <t>$902,399</t>
  </si>
  <si>
    <t>Azit</t>
  </si>
  <si>
    <t>AZIT</t>
  </si>
  <si>
    <t>$0.004158</t>
  </si>
  <si>
    <t>2.70%</t>
  </si>
  <si>
    <t>$68,754</t>
  </si>
  <si>
    <t>429.81M</t>
  </si>
  <si>
    <t>Fluence</t>
  </si>
  <si>
    <t>FLT</t>
  </si>
  <si>
    <t>$0.006243</t>
  </si>
  <si>
    <t>0.62%</t>
  </si>
  <si>
    <t>$104,668</t>
  </si>
  <si>
    <t>286.23M</t>
  </si>
  <si>
    <t>Neutron</t>
  </si>
  <si>
    <t>NTRN</t>
  </si>
  <si>
    <t>$0.002946</t>
  </si>
  <si>
    <t>2.02%</t>
  </si>
  <si>
    <t>$619,631</t>
  </si>
  <si>
    <t>605.92M</t>
  </si>
  <si>
    <t>NetMind Token</t>
  </si>
  <si>
    <t>NMT</t>
  </si>
  <si>
    <t>$0.05322</t>
  </si>
  <si>
    <t>$79,063</t>
  </si>
  <si>
    <t>33.45M</t>
  </si>
  <si>
    <t>Pepes Dog</t>
  </si>
  <si>
    <t>ZEUS</t>
  </si>
  <si>
    <t>$0.084228</t>
  </si>
  <si>
    <t>$1,692,677</t>
  </si>
  <si>
    <t>Storm Trade</t>
  </si>
  <si>
    <t>STORM</t>
  </si>
  <si>
    <t>$0.006870</t>
  </si>
  <si>
    <t>$223,765</t>
  </si>
  <si>
    <t>258.22M</t>
  </si>
  <si>
    <t>Pepe Unchained (New)</t>
  </si>
  <si>
    <t>PEPU</t>
  </si>
  <si>
    <t>$0.0001361</t>
  </si>
  <si>
    <t>$218,501</t>
  </si>
  <si>
    <t>10.55B</t>
  </si>
  <si>
    <t>LATOKEN</t>
  </si>
  <si>
    <t>LA</t>
  </si>
  <si>
    <t>$0.003769</t>
  </si>
  <si>
    <t>$68</t>
  </si>
  <si>
    <t>380.1M</t>
  </si>
  <si>
    <t>Samoyedcoin</t>
  </si>
  <si>
    <t>SAMO</t>
  </si>
  <si>
    <t>$0.0003895</t>
  </si>
  <si>
    <t>0.23%</t>
  </si>
  <si>
    <t>$63,221</t>
  </si>
  <si>
    <t>3.65B</t>
  </si>
  <si>
    <t>DerivaDAO</t>
  </si>
  <si>
    <t>DDX</t>
  </si>
  <si>
    <t>$0.05458</t>
  </si>
  <si>
    <t>$1</t>
  </si>
  <si>
    <t>26.09M</t>
  </si>
  <si>
    <t>Gracy</t>
  </si>
  <si>
    <t>GRACY</t>
  </si>
  <si>
    <t>$0.007496</t>
  </si>
  <si>
    <t>$60,151</t>
  </si>
  <si>
    <t>Pwease</t>
  </si>
  <si>
    <t>PWEASE</t>
  </si>
  <si>
    <t>$0.001424</t>
  </si>
  <si>
    <t>0.64%</t>
  </si>
  <si>
    <t>$218,025</t>
  </si>
  <si>
    <t>999.92M</t>
  </si>
  <si>
    <t>Graphlinq Chain</t>
  </si>
  <si>
    <t>GLQ</t>
  </si>
  <si>
    <t>$0.004188</t>
  </si>
  <si>
    <t>1.16%</t>
  </si>
  <si>
    <t>$79,944</t>
  </si>
  <si>
    <t>339.99M</t>
  </si>
  <si>
    <t>Best Wallet</t>
  </si>
  <si>
    <t>BEST</t>
  </si>
  <si>
    <t>$0.0008500</t>
  </si>
  <si>
    <t>$6,151</t>
  </si>
  <si>
    <t>1.67B</t>
  </si>
  <si>
    <t>XDAG</t>
  </si>
  <si>
    <t>$0.001107</t>
  </si>
  <si>
    <t>$321,945</t>
  </si>
  <si>
    <t>1.28B</t>
  </si>
  <si>
    <t>Persistence One</t>
  </si>
  <si>
    <t>XPRT</t>
  </si>
  <si>
    <t>$0.006638</t>
  </si>
  <si>
    <t>0.26%</t>
  </si>
  <si>
    <t>$6,106</t>
  </si>
  <si>
    <t>213.36M</t>
  </si>
  <si>
    <t>Rocket Lab Tokenized Stock (Ondo)</t>
  </si>
  <si>
    <t>RKLBon</t>
  </si>
  <si>
    <t>$103.16</t>
  </si>
  <si>
    <t>$697,513</t>
  </si>
  <si>
    <t>11.51K</t>
  </si>
  <si>
    <t>UniBot</t>
  </si>
  <si>
    <t>UNIBOT</t>
  </si>
  <si>
    <t>5.10%</t>
  </si>
  <si>
    <t>$2,719</t>
  </si>
  <si>
    <t>1M</t>
  </si>
  <si>
    <t>ShareToken</t>
  </si>
  <si>
    <t>SHR</t>
  </si>
  <si>
    <t>$0.0003266</t>
  </si>
  <si>
    <t>1.45%</t>
  </si>
  <si>
    <t>$107,033</t>
  </si>
  <si>
    <t>3.61B</t>
  </si>
  <si>
    <t>ICHI</t>
  </si>
  <si>
    <t>$0.1257</t>
  </si>
  <si>
    <t>$76</t>
  </si>
  <si>
    <t>9.37M</t>
  </si>
  <si>
    <t>Goldman Sachs Tokenized Stock (Ondo)</t>
  </si>
  <si>
    <t>GSon</t>
  </si>
  <si>
    <t>$937.04</t>
  </si>
  <si>
    <t>$1,174,159</t>
  </si>
  <si>
    <t>1.25K</t>
  </si>
  <si>
    <t>Abbott Tokenized Stock (Ondo)</t>
  </si>
  <si>
    <t>ABTon</t>
  </si>
  <si>
    <t>$85.37</t>
  </si>
  <si>
    <t>$1,358,207</t>
  </si>
  <si>
    <t>13.79K</t>
  </si>
  <si>
    <t>Bitboard</t>
  </si>
  <si>
    <t>BB</t>
  </si>
  <si>
    <t>$0.0002658</t>
  </si>
  <si>
    <t>$278,212</t>
  </si>
  <si>
    <t>4.42B</t>
  </si>
  <si>
    <t>Reality Metaverse</t>
  </si>
  <si>
    <t>RMV</t>
  </si>
  <si>
    <t>$0.004708</t>
  </si>
  <si>
    <t>0.83%</t>
  </si>
  <si>
    <t>$80,181</t>
  </si>
  <si>
    <t>249.89M</t>
  </si>
  <si>
    <t>Vexanium</t>
  </si>
  <si>
    <t>VEX</t>
  </si>
  <si>
    <t>$0.001600</t>
  </si>
  <si>
    <t>$63,262</t>
  </si>
  <si>
    <t>733.64M</t>
  </si>
  <si>
    <t>Clore.ai</t>
  </si>
  <si>
    <t>CLORE</t>
  </si>
  <si>
    <t>$0.001846</t>
  </si>
  <si>
    <t>$752,739</t>
  </si>
  <si>
    <t>635.71M</t>
  </si>
  <si>
    <t>Circulating_Supply($)</t>
  </si>
  <si>
    <t>16.77M</t>
  </si>
  <si>
    <t>1.62T</t>
  </si>
  <si>
    <t>280.93B</t>
  </si>
  <si>
    <t>189.65B</t>
  </si>
  <si>
    <t>88.22B</t>
  </si>
  <si>
    <t>87.8B</t>
  </si>
  <si>
    <t>77.88B</t>
  </si>
  <si>
    <t>54.47B</t>
  </si>
  <si>
    <t>33.1B</t>
  </si>
  <si>
    <t>16.74B</t>
  </si>
  <si>
    <t>399.65M</t>
  </si>
  <si>
    <t>399.46M</t>
  </si>
  <si>
    <t>390.9M</t>
  </si>
  <si>
    <t>383.1M</t>
  </si>
  <si>
    <t>382.38M</t>
  </si>
  <si>
    <t>379.82M</t>
  </si>
  <si>
    <t>376.94M</t>
  </si>
  <si>
    <t>356.84M</t>
  </si>
  <si>
    <t>351.23M</t>
  </si>
  <si>
    <t>350.98M</t>
  </si>
  <si>
    <t>3.58B</t>
  </si>
  <si>
    <t>1.78B</t>
  </si>
  <si>
    <t>1.58B</t>
  </si>
  <si>
    <t>1.33B</t>
  </si>
  <si>
    <t>980.69M</t>
  </si>
  <si>
    <t>972.12M</t>
  </si>
  <si>
    <t>616.03M</t>
  </si>
  <si>
    <t>583.76M</t>
  </si>
  <si>
    <t>565.41M</t>
  </si>
  <si>
    <t>82.14M</t>
  </si>
  <si>
    <t>81.48M</t>
  </si>
  <si>
    <t>81.44M</t>
  </si>
  <si>
    <t>81.19M</t>
  </si>
  <si>
    <t>80.45M</t>
  </si>
  <si>
    <t>79.96M</t>
  </si>
  <si>
    <t>79.74M</t>
  </si>
  <si>
    <t>79.72M</t>
  </si>
  <si>
    <t>79.47M</t>
  </si>
  <si>
    <t>79.09M</t>
  </si>
  <si>
    <t>54.27M</t>
  </si>
  <si>
    <t>54.25M</t>
  </si>
  <si>
    <t>53.83M</t>
  </si>
  <si>
    <t>53.74M</t>
  </si>
  <si>
    <t>53.63M</t>
  </si>
  <si>
    <t>53.54M</t>
  </si>
  <si>
    <t>53.36M</t>
  </si>
  <si>
    <t>53.31M</t>
  </si>
  <si>
    <t>52.59M</t>
  </si>
  <si>
    <t>39.46M</t>
  </si>
  <si>
    <t>39.32M</t>
  </si>
  <si>
    <t>39.21M</t>
  </si>
  <si>
    <t>39.08M</t>
  </si>
  <si>
    <t>38.96M</t>
  </si>
  <si>
    <t>38.91M</t>
  </si>
  <si>
    <t>38.71M</t>
  </si>
  <si>
    <t>38.8M</t>
  </si>
  <si>
    <t>38.69M</t>
  </si>
  <si>
    <t>38.47M</t>
  </si>
  <si>
    <t>30.7M</t>
  </si>
  <si>
    <t>30.69M</t>
  </si>
  <si>
    <t>30.64M</t>
  </si>
  <si>
    <t>30.51M</t>
  </si>
  <si>
    <t>30.36M</t>
  </si>
  <si>
    <t>30.27M</t>
  </si>
  <si>
    <t>30.17M</t>
  </si>
  <si>
    <t>30.14M</t>
  </si>
  <si>
    <t>30.13M</t>
  </si>
  <si>
    <t>24.15M</t>
  </si>
  <si>
    <t>23.98M</t>
  </si>
  <si>
    <t>23.94M</t>
  </si>
  <si>
    <t>23.92M</t>
  </si>
  <si>
    <t>23.91M</t>
  </si>
  <si>
    <t>23.82M</t>
  </si>
  <si>
    <t>23.75M</t>
  </si>
  <si>
    <t>23.72M</t>
  </si>
  <si>
    <t>23.68M</t>
  </si>
  <si>
    <t>18.18M</t>
  </si>
  <si>
    <t>18.14M</t>
  </si>
  <si>
    <t>18.12M</t>
  </si>
  <si>
    <t>18.09M</t>
  </si>
  <si>
    <t>18.07M</t>
  </si>
  <si>
    <t>18.06M</t>
  </si>
  <si>
    <t>17.93M</t>
  </si>
  <si>
    <t>17.66M</t>
  </si>
  <si>
    <t>17.62M</t>
  </si>
  <si>
    <t>13.74M</t>
  </si>
  <si>
    <t>13.69M</t>
  </si>
  <si>
    <t>13.68M</t>
  </si>
  <si>
    <t>13.65M</t>
  </si>
  <si>
    <t>13.62M</t>
  </si>
  <si>
    <t>13.59M</t>
  </si>
  <si>
    <t>13.55M</t>
  </si>
  <si>
    <t>10.83M</t>
  </si>
  <si>
    <t>10.79M</t>
  </si>
  <si>
    <t>10.78M</t>
  </si>
  <si>
    <t>10.77M</t>
  </si>
  <si>
    <t>10.64M</t>
  </si>
  <si>
    <t>10.63M</t>
  </si>
  <si>
    <t>10.61M</t>
  </si>
  <si>
    <t>8.2M</t>
  </si>
  <si>
    <t>8.18M</t>
  </si>
  <si>
    <t>8.14M</t>
  </si>
  <si>
    <t>8.12M</t>
  </si>
  <si>
    <t>8.09M</t>
  </si>
  <si>
    <t>8.08M</t>
  </si>
  <si>
    <t>8.07M</t>
  </si>
  <si>
    <t>8.06M</t>
  </si>
  <si>
    <t>8.05M</t>
  </si>
  <si>
    <t>6.09M</t>
  </si>
  <si>
    <t>6.08M</t>
  </si>
  <si>
    <t>6.06M</t>
  </si>
  <si>
    <t>6.04M</t>
  </si>
  <si>
    <t>6.01M</t>
  </si>
  <si>
    <t>5.99M</t>
  </si>
  <si>
    <t>5.96M</t>
  </si>
  <si>
    <t>4.7M</t>
  </si>
  <si>
    <t>4.63M</t>
  </si>
  <si>
    <t>4.62M</t>
  </si>
  <si>
    <t>4.61M</t>
  </si>
  <si>
    <t>4.6M</t>
  </si>
  <si>
    <t>4.58M</t>
  </si>
  <si>
    <t>4.57M</t>
  </si>
  <si>
    <t>4.52M</t>
  </si>
  <si>
    <t>3.5M</t>
  </si>
  <si>
    <t>3.48M</t>
  </si>
  <si>
    <t>3.46M</t>
  </si>
  <si>
    <t>3.44M</t>
  </si>
  <si>
    <t>3.43M</t>
  </si>
  <si>
    <t>3.41M</t>
  </si>
  <si>
    <t>2.78M</t>
  </si>
  <si>
    <t>2.76M</t>
  </si>
  <si>
    <t>2.75M</t>
  </si>
  <si>
    <t>2.74M</t>
  </si>
  <si>
    <t>2.24M</t>
  </si>
  <si>
    <t>2.23M</t>
  </si>
  <si>
    <t>2.22M</t>
  </si>
  <si>
    <t>2.21M</t>
  </si>
  <si>
    <t>2.2M</t>
  </si>
  <si>
    <t>2.19M</t>
  </si>
  <si>
    <t>1.8M</t>
  </si>
  <si>
    <t>1.79M</t>
  </si>
  <si>
    <t>1.78M</t>
  </si>
  <si>
    <t>1.77M</t>
  </si>
  <si>
    <t>1.44M</t>
  </si>
  <si>
    <t>1.43M</t>
  </si>
  <si>
    <t>1.42M</t>
  </si>
  <si>
    <t>1.19M</t>
  </si>
  <si>
    <t>1.18M</t>
  </si>
  <si>
    <t>1.17M</t>
  </si>
  <si>
    <t xml:space="preserve">  Market Cap</t>
  </si>
  <si>
    <t xml:space="preserve"> Dollar Volume per Supply</t>
  </si>
  <si>
    <t>Rank</t>
  </si>
  <si>
    <t>Price Range</t>
  </si>
  <si>
    <t>Grand Total</t>
  </si>
  <si>
    <t>Price(USD)</t>
  </si>
  <si>
    <t>Price(USD)2</t>
  </si>
  <si>
    <t>price</t>
  </si>
  <si>
    <t>Sum of 1h Change (%)</t>
  </si>
  <si>
    <t>Row Labels</t>
  </si>
  <si>
    <t>Dollar Volume per Supply</t>
  </si>
  <si>
    <t xml:space="preserve">  Price(USD)</t>
  </si>
  <si>
    <t>Sum of   Market Cap</t>
  </si>
  <si>
    <t>Others</t>
  </si>
  <si>
    <t xml:space="preserve">Grand Total </t>
  </si>
  <si>
    <t>Key Performane Indicator</t>
  </si>
  <si>
    <t xml:space="preserve">Total Market Capital </t>
  </si>
  <si>
    <t xml:space="preserve">Total Prices of Coins </t>
  </si>
  <si>
    <t>Total Circulating Supply</t>
  </si>
  <si>
    <t>Sum of Price(USD)</t>
  </si>
  <si>
    <t>Highest  Price Coin</t>
  </si>
  <si>
    <t>Highest Price</t>
  </si>
  <si>
    <t>Sum of Circulating_Supply($)</t>
  </si>
  <si>
    <t xml:space="preserve">      </t>
  </si>
  <si>
    <t>Name Filter</t>
  </si>
  <si>
    <t>Sum of Volume (24h) USD</t>
  </si>
  <si>
    <t>Show</t>
  </si>
  <si>
    <t xml:space="preserve"> </t>
  </si>
  <si>
    <t>Crypto Coin Comparison Dashboard</t>
  </si>
  <si>
    <t>Coin 1 Name</t>
  </si>
  <si>
    <t>Coin 2 Name</t>
  </si>
  <si>
    <t>Details</t>
  </si>
  <si>
    <t>Coin 1</t>
  </si>
  <si>
    <t>Coin 2</t>
  </si>
  <si>
    <t>Price</t>
  </si>
  <si>
    <t xml:space="preserve">Volume </t>
  </si>
  <si>
    <t xml:space="preserve">Market Cap </t>
  </si>
  <si>
    <t>Volume Difference</t>
  </si>
  <si>
    <t>Market Cap Difference</t>
  </si>
  <si>
    <t>Supply Difference</t>
  </si>
  <si>
    <t>Price Category</t>
  </si>
  <si>
    <t>Above 50</t>
  </si>
  <si>
    <t>Previous Price</t>
  </si>
  <si>
    <t>Price Filter</t>
  </si>
  <si>
    <t>Sum of Previous Price</t>
  </si>
  <si>
    <t>Previous 24h Price</t>
  </si>
  <si>
    <t>Previous 7d Price</t>
  </si>
  <si>
    <t>7d Change (%)</t>
  </si>
  <si>
    <t>Sum of Previous 7d Price</t>
  </si>
  <si>
    <t>(All)</t>
  </si>
  <si>
    <t>Sum of Previous 24h Price</t>
  </si>
  <si>
    <t>24h Change (%)</t>
  </si>
  <si>
    <t>Avg Downfall %</t>
  </si>
  <si>
    <t>Price Group</t>
  </si>
  <si>
    <t>0.05-0.5</t>
  </si>
  <si>
    <t>Min of Avg Downfall %</t>
  </si>
  <si>
    <t>Min of Price(USD)</t>
  </si>
  <si>
    <t>Total Coins</t>
  </si>
  <si>
    <t>Best Coin in Selected Price Range</t>
  </si>
  <si>
    <t>Top Coins with Lowest Average Downfall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</si>
</sst>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409]* #,##0.00_ ;_-[$$-409]* \-#,##0.00\ ;_-[$$-409]* &quot;-&quot;??_ ;_-@_ "/>
    <numFmt numFmtId="165" formatCode="0.00000%"/>
  </numFmts>
  <fonts count="8">
    <font>
      <sz val="11"/>
      <color theme="1"/>
      <name val="Calibri"/>
      <family val="2"/>
      <scheme val="minor"/>
    </font>
    <font>
      <b/>
      <sz val="11"/>
      <color theme="1"/>
      <name val="Times New Roman"/>
      <family val="1"/>
    </font>
    <font>
      <sz val="8"/>
      <name val="Calibri"/>
      <family val="2"/>
      <scheme val="minor"/>
    </font>
    <font>
      <sz val="14"/>
      <color theme="1"/>
      <name val="Calibri"/>
      <family val="2"/>
      <scheme val="minor"/>
    </font>
    <font>
      <b/>
      <sz val="11"/>
      <color theme="1"/>
      <name val="Calibri"/>
      <family val="2"/>
      <scheme val="minor"/>
    </font>
    <font>
      <b/>
      <sz val="16"/>
      <color theme="3" tint="0.39997558519241921"/>
      <name val="Calibri"/>
      <family val="2"/>
      <scheme val="minor"/>
    </font>
    <font>
      <sz val="10"/>
      <color theme="1"/>
      <name val="Arial Unicode MS"/>
    </font>
    <font>
      <b/>
      <sz val="14"/>
      <color theme="1"/>
      <name val="Calibri"/>
      <family val="2"/>
      <scheme val="minor"/>
    </font>
  </fonts>
  <fills count="6">
    <fill>
      <patternFill patternType="none"/>
    </fill>
    <fill>
      <patternFill patternType="gray125"/>
    </fill>
    <fill>
      <patternFill patternType="solid">
        <fgColor theme="0" tint="-0.249977111117893"/>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50">
    <xf numFmtId="0" fontId="0" fillId="0" borderId="0" xfId="0"/>
    <xf numFmtId="0" fontId="1" fillId="0" borderId="0" xfId="0" applyFont="1"/>
    <xf numFmtId="164" fontId="1" fillId="0" borderId="0" xfId="0" applyNumberFormat="1" applyFont="1"/>
    <xf numFmtId="164" fontId="0" fillId="0" borderId="0" xfId="0" applyNumberFormat="1"/>
    <xf numFmtId="0" fontId="0" fillId="0" borderId="0" xfId="0" pivotButton="1"/>
    <xf numFmtId="0" fontId="0" fillId="0" borderId="0" xfId="0" applyAlignment="1">
      <alignment horizontal="left"/>
    </xf>
    <xf numFmtId="2" fontId="0" fillId="0" borderId="0" xfId="0" applyNumberFormat="1"/>
    <xf numFmtId="0" fontId="0" fillId="2" borderId="0" xfId="0" applyFill="1"/>
    <xf numFmtId="0" fontId="3" fillId="2" borderId="0" xfId="0" applyFont="1" applyFill="1"/>
    <xf numFmtId="0" fontId="0" fillId="0" borderId="0" xfId="0" applyAlignment="1">
      <alignment horizontal="center"/>
    </xf>
    <xf numFmtId="0" fontId="0" fillId="0" borderId="0" xfId="0" applyAlignment="1">
      <alignment vertical="center" wrapText="1"/>
    </xf>
    <xf numFmtId="0" fontId="4" fillId="0" borderId="0" xfId="0" applyFont="1"/>
    <xf numFmtId="0" fontId="4" fillId="0" borderId="0" xfId="0" applyFont="1" applyAlignment="1">
      <alignment vertical="center" wrapText="1"/>
    </xf>
    <xf numFmtId="0" fontId="4" fillId="3" borderId="1" xfId="0" applyFont="1" applyFill="1" applyBorder="1"/>
    <xf numFmtId="3" fontId="4" fillId="0" borderId="1" xfId="0" applyNumberFormat="1" applyFont="1" applyBorder="1"/>
    <xf numFmtId="0" fontId="0" fillId="0" borderId="1" xfId="0" applyBorder="1"/>
    <xf numFmtId="3" fontId="0" fillId="0" borderId="1" xfId="0" applyNumberFormat="1" applyBorder="1"/>
    <xf numFmtId="0" fontId="6" fillId="0" borderId="0" xfId="0" applyFont="1"/>
    <xf numFmtId="0" fontId="0" fillId="0" borderId="1" xfId="0" applyBorder="1" applyAlignment="1">
      <alignment horizontal="center" vertical="center"/>
    </xf>
    <xf numFmtId="2" fontId="0" fillId="0" borderId="1" xfId="0" applyNumberFormat="1" applyBorder="1" applyAlignment="1">
      <alignment horizontal="center" vertical="center"/>
    </xf>
    <xf numFmtId="165" fontId="0" fillId="0" borderId="1" xfId="0" applyNumberFormat="1" applyBorder="1" applyAlignment="1">
      <alignment horizontal="center" vertical="center"/>
    </xf>
    <xf numFmtId="0" fontId="4" fillId="4" borderId="1" xfId="0" applyFont="1" applyFill="1" applyBorder="1" applyAlignment="1">
      <alignment horizontal="center" vertical="center"/>
    </xf>
    <xf numFmtId="0" fontId="3" fillId="0" borderId="0" xfId="0" applyFont="1"/>
    <xf numFmtId="0" fontId="3" fillId="0" borderId="0" xfId="0" applyFont="1" applyAlignment="1">
      <alignment horizontal="center"/>
    </xf>
    <xf numFmtId="0" fontId="7" fillId="0" borderId="2" xfId="0" applyFont="1" applyBorder="1" applyAlignment="1">
      <alignment horizontal="center"/>
    </xf>
    <xf numFmtId="0" fontId="0" fillId="0" borderId="2" xfId="0" applyBorder="1" applyAlignment="1">
      <alignment horizontal="center"/>
    </xf>
    <xf numFmtId="0" fontId="7" fillId="0" borderId="0" xfId="0" applyFont="1" applyAlignment="1">
      <alignment horizontal="center"/>
    </xf>
    <xf numFmtId="0" fontId="0" fillId="0" borderId="0" xfId="0" applyAlignment="1">
      <alignment horizontal="center"/>
    </xf>
    <xf numFmtId="0" fontId="5" fillId="0" borderId="0" xfId="0" applyFont="1" applyAlignment="1">
      <alignment horizontal="center"/>
    </xf>
    <xf numFmtId="0" fontId="0" fillId="0" borderId="0" xfId="0" applyNumberFormat="1"/>
    <xf numFmtId="0" fontId="0" fillId="0" borderId="0" xfId="0" pivotButton="1" applyBorder="1"/>
    <xf numFmtId="0" fontId="0" fillId="0" borderId="0" xfId="0" applyBorder="1"/>
    <xf numFmtId="165" fontId="0" fillId="0" borderId="0" xfId="0" applyNumberFormat="1" applyBorder="1"/>
    <xf numFmtId="0" fontId="0" fillId="0" borderId="0" xfId="0" applyBorder="1" applyAlignment="1">
      <alignment horizontal="left"/>
    </xf>
    <xf numFmtId="2" fontId="0" fillId="0" borderId="0" xfId="0" applyNumberFormat="1" applyBorder="1"/>
    <xf numFmtId="0" fontId="0" fillId="5" borderId="0" xfId="0" applyFill="1"/>
    <xf numFmtId="3" fontId="0" fillId="0" borderId="0" xfId="0" applyNumberFormat="1"/>
    <xf numFmtId="0" fontId="0" fillId="0" borderId="3" xfId="0" applyBorder="1" applyAlignment="1">
      <alignment horizontal="center"/>
    </xf>
    <xf numFmtId="0" fontId="0" fillId="0" borderId="4" xfId="0" applyBorder="1" applyAlignment="1">
      <alignment horizontal="center" wrapText="1"/>
    </xf>
    <xf numFmtId="0" fontId="0" fillId="0" borderId="5" xfId="0" applyBorder="1" applyAlignment="1">
      <alignment horizontal="center"/>
    </xf>
    <xf numFmtId="0" fontId="0" fillId="0" borderId="6" xfId="0" applyBorder="1" applyAlignment="1">
      <alignment horizontal="center" wrapText="1"/>
    </xf>
    <xf numFmtId="0" fontId="0" fillId="0" borderId="1" xfId="0" applyBorder="1" applyAlignment="1">
      <alignment horizontal="center" wrapText="1"/>
    </xf>
    <xf numFmtId="0" fontId="0" fillId="0" borderId="7" xfId="0" applyBorder="1" applyAlignment="1">
      <alignment horizontal="center"/>
    </xf>
    <xf numFmtId="0" fontId="0" fillId="0" borderId="1" xfId="0" applyBorder="1" applyAlignment="1">
      <alignment horizontal="center"/>
    </xf>
    <xf numFmtId="0" fontId="0" fillId="0" borderId="6" xfId="0" applyBorder="1" applyAlignment="1">
      <alignment horizontal="center"/>
    </xf>
    <xf numFmtId="3" fontId="0" fillId="0" borderId="1" xfId="0" applyNumberFormat="1" applyBorder="1" applyAlignment="1">
      <alignment horizontal="center"/>
    </xf>
    <xf numFmtId="3" fontId="0" fillId="0" borderId="7" xfId="0" applyNumberFormat="1" applyBorder="1" applyAlignment="1">
      <alignment horizontal="center"/>
    </xf>
    <xf numFmtId="0" fontId="0" fillId="0" borderId="8" xfId="0" applyBorder="1" applyAlignment="1">
      <alignment horizontal="center"/>
    </xf>
    <xf numFmtId="3" fontId="0" fillId="0" borderId="9" xfId="0" applyNumberFormat="1" applyBorder="1" applyAlignment="1">
      <alignment horizontal="center"/>
    </xf>
    <xf numFmtId="3" fontId="0" fillId="0" borderId="10" xfId="0" applyNumberFormat="1" applyBorder="1" applyAlignment="1">
      <alignment horizontal="center"/>
    </xf>
  </cellXfs>
  <cellStyles count="1">
    <cellStyle name="Normal" xfId="0" builtinId="0"/>
  </cellStyles>
  <dxfs count="44">
    <dxf>
      <font>
        <b val="0"/>
      </font>
      <alignment horizontal="center" vertical="bottom"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numFmt numFmtId="3" formatCode="#,##0"/>
    </dxf>
    <dxf>
      <numFmt numFmtId="3" formatCode="#,##0"/>
    </dxf>
    <dxf>
      <alignment horizontal="center" vertical="bottom" textRotation="0" indent="0" justifyLastLine="0" shrinkToFit="0" readingOrder="0"/>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0" formatCode="General"/>
    </dxf>
    <dxf>
      <numFmt numFmtId="0" formatCode="Genera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5" formatCode="0.00000%"/>
    </dxf>
    <dxf>
      <numFmt numFmtId="165" formatCode="0.00000%"/>
    </dxf>
    <dxf>
      <numFmt numFmtId="165" formatCode="0.00000%"/>
    </dxf>
    <dxf>
      <numFmt numFmtId="14"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[Crypto_Dashboard_Task4.xlsm]Pivotcharts!PivotTable1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a:t>
            </a:r>
            <a:r>
              <a:rPr lang="en-IN" baseline="0"/>
              <a:t> 10 Coins by Price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Pivotcharts!$B$2</c:f>
              <c:strCache>
                <c:ptCount val="1"/>
                <c:pt idx="0">
                  <c:v>Total</c:v>
                </c:pt>
              </c:strCache>
            </c:strRef>
          </c:tx>
          <c:spPr>
            <a:solidFill>
              <a:schemeClr val="accent1"/>
            </a:solidFill>
            <a:ln>
              <a:noFill/>
            </a:ln>
            <a:effectLst/>
          </c:spPr>
          <c:invertIfNegative val="0"/>
          <c:cat>
            <c:strRef>
              <c:f>Pivotcharts!$A$3:$A$8</c:f>
              <c:strCache>
                <c:ptCount val="5"/>
                <c:pt idx="0">
                  <c:v>XRP</c:v>
                </c:pt>
                <c:pt idx="1">
                  <c:v>Galatasaray Fan Token</c:v>
                </c:pt>
                <c:pt idx="2">
                  <c:v>UniBot</c:v>
                </c:pt>
                <c:pt idx="3">
                  <c:v>Paris Saint-Germain Fan Token</c:v>
                </c:pt>
                <c:pt idx="4">
                  <c:v>Ondo US Dollar Yield</c:v>
                </c:pt>
              </c:strCache>
            </c:strRef>
          </c:cat>
          <c:val>
            <c:numRef>
              <c:f>Pivotcharts!$B$3:$B$8</c:f>
              <c:numCache>
                <c:formatCode>General</c:formatCode>
                <c:ptCount val="5"/>
                <c:pt idx="0">
                  <c:v>1.42</c:v>
                </c:pt>
                <c:pt idx="1">
                  <c:v>1.32</c:v>
                </c:pt>
                <c:pt idx="2">
                  <c:v>1.18</c:v>
                </c:pt>
                <c:pt idx="3">
                  <c:v>1.18</c:v>
                </c:pt>
                <c:pt idx="4">
                  <c:v>1.1299999999999999</c:v>
                </c:pt>
              </c:numCache>
            </c:numRef>
          </c:val>
          <c:extLst>
            <c:ext xmlns:c16="http://schemas.microsoft.com/office/drawing/2014/chart" uri="{C3380CC4-5D6E-409C-BE32-E72D297353CC}">
              <c16:uniqueId val="{00000000-EF8D-4C7F-AAA8-2D55FAAF3D99}"/>
            </c:ext>
          </c:extLst>
        </c:ser>
        <c:dLbls>
          <c:showLegendKey val="0"/>
          <c:showVal val="0"/>
          <c:showCatName val="0"/>
          <c:showSerName val="0"/>
          <c:showPercent val="0"/>
          <c:showBubbleSize val="0"/>
        </c:dLbls>
        <c:gapWidth val="219"/>
        <c:overlap val="-27"/>
        <c:axId val="1106710208"/>
        <c:axId val="1106705408"/>
      </c:barChart>
      <c:catAx>
        <c:axId val="1106710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05408"/>
        <c:crosses val="autoZero"/>
        <c:auto val="1"/>
        <c:lblAlgn val="ctr"/>
        <c:lblOffset val="100"/>
        <c:noMultiLvlLbl val="0"/>
      </c:catAx>
      <c:valAx>
        <c:axId val="1106705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1020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9000"/>
            <a:lumOff val="91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6">
          <a:lumMod val="75000"/>
        </a:schemeClr>
      </a:solidFill>
      <a:round/>
    </a:ln>
    <a:effectLst>
      <a:glow rad="101600">
        <a:schemeClr val="accent2">
          <a:satMod val="175000"/>
          <a:alpha val="40000"/>
        </a:schemeClr>
      </a:glow>
      <a:outerShdw blurRad="50800" dist="50800" dir="5400000" algn="ctr" rotWithShape="0">
        <a:schemeClr val="tx2">
          <a:lumMod val="40000"/>
          <a:lumOff val="6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[Crypto_Dashboard_Task4.xlsm]Pivotcharts!PivotTable2</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Most</a:t>
            </a:r>
            <a:r>
              <a:rPr lang="en-IN" baseline="0"/>
              <a:t> change in 1hr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4457397542910726"/>
          <c:y val="0.24476641382743125"/>
          <c:w val="0.43330227471566052"/>
          <c:h val="0.6293157626130067"/>
        </c:manualLayout>
      </c:layout>
      <c:bar3DChart>
        <c:barDir val="bar"/>
        <c:grouping val="clustered"/>
        <c:varyColors val="0"/>
        <c:ser>
          <c:idx val="0"/>
          <c:order val="0"/>
          <c:tx>
            <c:strRef>
              <c:f>Pivotcharts!$B$18</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Pivotcharts!$A$19:$A$24</c:f>
              <c:strCache>
                <c:ptCount val="5"/>
                <c:pt idx="0">
                  <c:v>Galatasaray Fan Token</c:v>
                </c:pt>
                <c:pt idx="1">
                  <c:v>Ondo US Dollar Yield</c:v>
                </c:pt>
                <c:pt idx="2">
                  <c:v>Paris Saint-Germain Fan Token</c:v>
                </c:pt>
                <c:pt idx="3">
                  <c:v>UniBot</c:v>
                </c:pt>
                <c:pt idx="4">
                  <c:v>XRP</c:v>
                </c:pt>
              </c:strCache>
            </c:strRef>
          </c:cat>
          <c:val>
            <c:numRef>
              <c:f>Pivotcharts!$B$19:$B$24</c:f>
              <c:numCache>
                <c:formatCode>General</c:formatCode>
                <c:ptCount val="5"/>
                <c:pt idx="0">
                  <c:v>3.3E-3</c:v>
                </c:pt>
                <c:pt idx="1">
                  <c:v>1E-4</c:v>
                </c:pt>
                <c:pt idx="2">
                  <c:v>1.6500000000000001E-2</c:v>
                </c:pt>
                <c:pt idx="3">
                  <c:v>5.0999999999999997E-2</c:v>
                </c:pt>
                <c:pt idx="4">
                  <c:v>1.5E-3</c:v>
                </c:pt>
              </c:numCache>
            </c:numRef>
          </c:val>
          <c:extLst>
            <c:ext xmlns:c16="http://schemas.microsoft.com/office/drawing/2014/chart" uri="{C3380CC4-5D6E-409C-BE32-E72D297353CC}">
              <c16:uniqueId val="{00000000-6328-4356-909C-8421CF5E39F1}"/>
            </c:ext>
          </c:extLst>
        </c:ser>
        <c:dLbls>
          <c:showLegendKey val="0"/>
          <c:showVal val="1"/>
          <c:showCatName val="0"/>
          <c:showSerName val="0"/>
          <c:showPercent val="0"/>
          <c:showBubbleSize val="0"/>
        </c:dLbls>
        <c:gapWidth val="150"/>
        <c:shape val="box"/>
        <c:axId val="1660923968"/>
        <c:axId val="1270556416"/>
        <c:axId val="0"/>
      </c:bar3DChart>
      <c:catAx>
        <c:axId val="1660923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556416"/>
        <c:crosses val="autoZero"/>
        <c:auto val="1"/>
        <c:lblAlgn val="ctr"/>
        <c:lblOffset val="100"/>
        <c:noMultiLvlLbl val="0"/>
      </c:catAx>
      <c:valAx>
        <c:axId val="12705564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92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9000"/>
            <a:lumOff val="91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6">
          <a:lumMod val="75000"/>
        </a:schemeClr>
      </a:solidFill>
      <a:round/>
    </a:ln>
    <a:effectLst>
      <a:glow rad="101600">
        <a:schemeClr val="accent2">
          <a:satMod val="175000"/>
          <a:alpha val="40000"/>
        </a:schemeClr>
      </a:glow>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[Crypto_Dashboard_Task4.xlsm]Pivotcharts!PivotTable3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	Price</a:t>
            </a:r>
            <a:r>
              <a:rPr lang="en-IN" baseline="0"/>
              <a:t> vs Dollar supply</a:t>
            </a:r>
          </a:p>
          <a:p>
            <a:pPr>
              <a:defRPr/>
            </a:pPr>
            <a:endParaRPr lang="en-IN"/>
          </a:p>
        </c:rich>
      </c:tx>
      <c:layout>
        <c:manualLayout>
          <c:xMode val="edge"/>
          <c:yMode val="edge"/>
          <c:x val="5.3678035799431716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Pivotcharts!$N$2</c:f>
              <c:strCache>
                <c:ptCount val="1"/>
                <c:pt idx="0">
                  <c:v>Dollar Volume per Supply</c:v>
                </c:pt>
              </c:strCache>
            </c:strRef>
          </c:tx>
          <c:spPr>
            <a:solidFill>
              <a:schemeClr val="accent1">
                <a:tint val="77000"/>
              </a:schemeClr>
            </a:solidFill>
            <a:ln>
              <a:noFill/>
            </a:ln>
            <a:effectLst/>
          </c:spPr>
          <c:invertIfNegative val="0"/>
          <c:cat>
            <c:strRef>
              <c:f>Pivotcharts!$M$3:$M$8</c:f>
              <c:strCache>
                <c:ptCount val="5"/>
                <c:pt idx="0">
                  <c:v>Galatasaray Fan Token</c:v>
                </c:pt>
                <c:pt idx="1">
                  <c:v>Ondo US Dollar Yield</c:v>
                </c:pt>
                <c:pt idx="2">
                  <c:v>Paris Saint-Germain Fan Token</c:v>
                </c:pt>
                <c:pt idx="3">
                  <c:v>UniBot</c:v>
                </c:pt>
                <c:pt idx="4">
                  <c:v>XRP</c:v>
                </c:pt>
              </c:strCache>
            </c:strRef>
          </c:cat>
          <c:val>
            <c:numRef>
              <c:f>Pivotcharts!$N$3:$N$8</c:f>
              <c:numCache>
                <c:formatCode>General</c:formatCode>
                <c:ptCount val="5"/>
                <c:pt idx="0">
                  <c:v>2.0079235884567126</c:v>
                </c:pt>
                <c:pt idx="1">
                  <c:v>3.862051282051282E-5</c:v>
                </c:pt>
                <c:pt idx="2">
                  <c:v>2.6461737565445027</c:v>
                </c:pt>
                <c:pt idx="3">
                  <c:v>2.7190000000000001E-3</c:v>
                </c:pt>
                <c:pt idx="4">
                  <c:v>1.8069214727302153E-2</c:v>
                </c:pt>
              </c:numCache>
            </c:numRef>
          </c:val>
          <c:extLst>
            <c:ext xmlns:c16="http://schemas.microsoft.com/office/drawing/2014/chart" uri="{C3380CC4-5D6E-409C-BE32-E72D297353CC}">
              <c16:uniqueId val="{00000000-4D86-4329-B83C-72EBDD876ECA}"/>
            </c:ext>
          </c:extLst>
        </c:ser>
        <c:ser>
          <c:idx val="1"/>
          <c:order val="1"/>
          <c:tx>
            <c:strRef>
              <c:f>Pivotcharts!$O$2</c:f>
              <c:strCache>
                <c:ptCount val="1"/>
                <c:pt idx="0">
                  <c:v>  Price(USD)</c:v>
                </c:pt>
              </c:strCache>
            </c:strRef>
          </c:tx>
          <c:spPr>
            <a:solidFill>
              <a:schemeClr val="accent1">
                <a:shade val="76000"/>
              </a:schemeClr>
            </a:solidFill>
            <a:ln>
              <a:noFill/>
            </a:ln>
            <a:effectLst/>
          </c:spPr>
          <c:invertIfNegative val="0"/>
          <c:cat>
            <c:strRef>
              <c:f>Pivotcharts!$M$3:$M$8</c:f>
              <c:strCache>
                <c:ptCount val="5"/>
                <c:pt idx="0">
                  <c:v>Galatasaray Fan Token</c:v>
                </c:pt>
                <c:pt idx="1">
                  <c:v>Ondo US Dollar Yield</c:v>
                </c:pt>
                <c:pt idx="2">
                  <c:v>Paris Saint-Germain Fan Token</c:v>
                </c:pt>
                <c:pt idx="3">
                  <c:v>UniBot</c:v>
                </c:pt>
                <c:pt idx="4">
                  <c:v>XRP</c:v>
                </c:pt>
              </c:strCache>
            </c:strRef>
          </c:cat>
          <c:val>
            <c:numRef>
              <c:f>Pivotcharts!$O$3:$O$8</c:f>
              <c:numCache>
                <c:formatCode>General</c:formatCode>
                <c:ptCount val="5"/>
                <c:pt idx="0">
                  <c:v>1.32</c:v>
                </c:pt>
                <c:pt idx="1">
                  <c:v>1.1299999999999999</c:v>
                </c:pt>
                <c:pt idx="2">
                  <c:v>1.18</c:v>
                </c:pt>
                <c:pt idx="3">
                  <c:v>1.18</c:v>
                </c:pt>
                <c:pt idx="4">
                  <c:v>1.42</c:v>
                </c:pt>
              </c:numCache>
            </c:numRef>
          </c:val>
          <c:extLst>
            <c:ext xmlns:c16="http://schemas.microsoft.com/office/drawing/2014/chart" uri="{C3380CC4-5D6E-409C-BE32-E72D297353CC}">
              <c16:uniqueId val="{00000001-4D86-4329-B83C-72EBDD876ECA}"/>
            </c:ext>
          </c:extLst>
        </c:ser>
        <c:dLbls>
          <c:showLegendKey val="0"/>
          <c:showVal val="0"/>
          <c:showCatName val="0"/>
          <c:showSerName val="0"/>
          <c:showPercent val="0"/>
          <c:showBubbleSize val="0"/>
        </c:dLbls>
        <c:gapWidth val="219"/>
        <c:overlap val="-27"/>
        <c:axId val="121173104"/>
        <c:axId val="121174064"/>
      </c:barChart>
      <c:catAx>
        <c:axId val="121173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74064"/>
        <c:crosses val="autoZero"/>
        <c:auto val="1"/>
        <c:lblAlgn val="ctr"/>
        <c:lblOffset val="100"/>
        <c:noMultiLvlLbl val="0"/>
      </c:catAx>
      <c:valAx>
        <c:axId val="121174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73104"/>
        <c:crosses val="autoZero"/>
        <c:crossBetween val="between"/>
      </c:valAx>
      <c:spPr>
        <a:noFill/>
        <a:ln>
          <a:noFill/>
        </a:ln>
        <a:effectLst/>
      </c:spPr>
    </c:plotArea>
    <c:legend>
      <c:legendPos val="r"/>
      <c:layout>
        <c:manualLayout>
          <c:xMode val="edge"/>
          <c:yMode val="edge"/>
          <c:x val="0.68202592940832385"/>
          <c:y val="0.31123967994566715"/>
          <c:w val="0.31470431638450663"/>
          <c:h val="0.37212938005390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9000"/>
            <a:lumOff val="91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6">
          <a:lumMod val="75000"/>
        </a:schemeClr>
      </a:solidFill>
      <a:round/>
    </a:ln>
    <a:effectLst>
      <a:glow rad="101600">
        <a:schemeClr val="accent2">
          <a:satMod val="175000"/>
          <a:alpha val="40000"/>
        </a:schemeClr>
      </a:glow>
      <a:outerShdw blurRad="50800" dist="38100" dir="2700000" algn="tl" rotWithShape="0">
        <a:schemeClr val="accent6">
          <a:lumMod val="75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Market Capital Shares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3BA-4313-ACB2-BEF7E0F9365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3BA-4313-ACB2-BEF7E0F9365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3BA-4313-ACB2-BEF7E0F9365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3BA-4313-ACB2-BEF7E0F9365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3BA-4313-ACB2-BEF7E0F93651}"/>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73BA-4313-ACB2-BEF7E0F93651}"/>
              </c:ext>
            </c:extLst>
          </c:dPt>
          <c:dLbls>
            <c:spPr>
              <a:pattFill prst="pct75">
                <a:fgClr>
                  <a:schemeClr val="dk1">
                    <a:lumMod val="75000"/>
                    <a:lumOff val="25000"/>
                  </a:schemeClr>
                </a:fgClr>
                <a:bgClr>
                  <a:schemeClr val="dk1">
                    <a:lumMod val="65000"/>
                    <a:lumOff val="35000"/>
                  </a:schemeClr>
                </a:bgClr>
              </a:pattFill>
              <a:ln w="3175">
                <a:solidFill>
                  <a:schemeClr val="accent1"/>
                </a:soli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Pivotcharts!$F$36:$F$41</c:f>
              <c:strCache>
                <c:ptCount val="6"/>
                <c:pt idx="0">
                  <c:v>XRP</c:v>
                </c:pt>
                <c:pt idx="1">
                  <c:v>Ondo US Dollar Yield</c:v>
                </c:pt>
                <c:pt idx="2">
                  <c:v>Paris Saint-Germain Fan Token</c:v>
                </c:pt>
                <c:pt idx="3">
                  <c:v>Galatasaray Fan Token</c:v>
                </c:pt>
                <c:pt idx="4">
                  <c:v>UniBot</c:v>
                </c:pt>
                <c:pt idx="5">
                  <c:v>Others</c:v>
                </c:pt>
              </c:strCache>
            </c:strRef>
          </c:cat>
          <c:val>
            <c:numRef>
              <c:f>Pivotcharts!$G$36:$G$41</c:f>
              <c:numCache>
                <c:formatCode>General</c:formatCode>
                <c:ptCount val="6"/>
                <c:pt idx="0">
                  <c:v>88220000000</c:v>
                </c:pt>
                <c:pt idx="1">
                  <c:v>1330000000</c:v>
                </c:pt>
                <c:pt idx="2">
                  <c:v>18140000</c:v>
                </c:pt>
                <c:pt idx="3">
                  <c:v>10610000</c:v>
                </c:pt>
                <c:pt idx="4">
                  <c:v>1190000</c:v>
                </c:pt>
                <c:pt idx="5">
                  <c:v>0</c:v>
                </c:pt>
              </c:numCache>
            </c:numRef>
          </c:val>
          <c:extLst>
            <c:ext xmlns:c16="http://schemas.microsoft.com/office/drawing/2014/chart" uri="{C3380CC4-5D6E-409C-BE32-E72D297353CC}">
              <c16:uniqueId val="{00000000-AB8E-449A-BF77-CF7466DBFAB2}"/>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rad="139700">
        <a:schemeClr val="accent2">
          <a:satMod val="175000"/>
          <a:alpha val="40000"/>
        </a:schemeClr>
      </a:glow>
      <a:outerShdw blurRad="50800" dist="50800" dir="5400000" algn="ctr" rotWithShape="0">
        <a:schemeClr val="accent6">
          <a:lumMod val="60000"/>
          <a:lumOff val="40000"/>
        </a:schemeClr>
      </a:outerShdw>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[Crypto_Dashboard_Task4.xlsm]Pivotcharts!PivotTable1</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a:t>
            </a:r>
            <a:r>
              <a:rPr lang="en-IN" baseline="0"/>
              <a:t> 10 Coins by Price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Pivotcharts!$B$2</c:f>
              <c:strCache>
                <c:ptCount val="1"/>
                <c:pt idx="0">
                  <c:v>Total</c:v>
                </c:pt>
              </c:strCache>
            </c:strRef>
          </c:tx>
          <c:spPr>
            <a:solidFill>
              <a:schemeClr val="accent1"/>
            </a:solidFill>
            <a:ln>
              <a:noFill/>
            </a:ln>
            <a:effectLst/>
          </c:spPr>
          <c:invertIfNegative val="0"/>
          <c:cat>
            <c:strRef>
              <c:f>Pivotcharts!$A$3:$A$8</c:f>
              <c:strCache>
                <c:ptCount val="5"/>
                <c:pt idx="0">
                  <c:v>XRP</c:v>
                </c:pt>
                <c:pt idx="1">
                  <c:v>Galatasaray Fan Token</c:v>
                </c:pt>
                <c:pt idx="2">
                  <c:v>UniBot</c:v>
                </c:pt>
                <c:pt idx="3">
                  <c:v>Paris Saint-Germain Fan Token</c:v>
                </c:pt>
                <c:pt idx="4">
                  <c:v>Ondo US Dollar Yield</c:v>
                </c:pt>
              </c:strCache>
            </c:strRef>
          </c:cat>
          <c:val>
            <c:numRef>
              <c:f>Pivotcharts!$B$3:$B$8</c:f>
              <c:numCache>
                <c:formatCode>General</c:formatCode>
                <c:ptCount val="5"/>
                <c:pt idx="0">
                  <c:v>1.42</c:v>
                </c:pt>
                <c:pt idx="1">
                  <c:v>1.32</c:v>
                </c:pt>
                <c:pt idx="2">
                  <c:v>1.18</c:v>
                </c:pt>
                <c:pt idx="3">
                  <c:v>1.18</c:v>
                </c:pt>
                <c:pt idx="4">
                  <c:v>1.1299999999999999</c:v>
                </c:pt>
              </c:numCache>
            </c:numRef>
          </c:val>
          <c:extLst>
            <c:ext xmlns:c16="http://schemas.microsoft.com/office/drawing/2014/chart" uri="{C3380CC4-5D6E-409C-BE32-E72D297353CC}">
              <c16:uniqueId val="{00000000-BA41-42DD-B037-7EF6A3D39348}"/>
            </c:ext>
          </c:extLst>
        </c:ser>
        <c:dLbls>
          <c:showLegendKey val="0"/>
          <c:showVal val="0"/>
          <c:showCatName val="0"/>
          <c:showSerName val="0"/>
          <c:showPercent val="0"/>
          <c:showBubbleSize val="0"/>
        </c:dLbls>
        <c:gapWidth val="219"/>
        <c:overlap val="-27"/>
        <c:axId val="1106710208"/>
        <c:axId val="1106705408"/>
      </c:barChart>
      <c:catAx>
        <c:axId val="1106710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05408"/>
        <c:crosses val="autoZero"/>
        <c:auto val="1"/>
        <c:lblAlgn val="ctr"/>
        <c:lblOffset val="100"/>
        <c:noMultiLvlLbl val="0"/>
      </c:catAx>
      <c:valAx>
        <c:axId val="1106705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1020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9000"/>
            <a:lumOff val="91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6">
          <a:lumMod val="75000"/>
        </a:schemeClr>
      </a:solidFill>
      <a:round/>
    </a:ln>
    <a:effectLst>
      <a:glow rad="101600">
        <a:schemeClr val="accent2">
          <a:satMod val="175000"/>
          <a:alpha val="40000"/>
        </a:schemeClr>
      </a:glow>
      <a:outerShdw blurRad="50800" dist="50800" dir="5400000" algn="ctr" rotWithShape="0">
        <a:schemeClr val="tx2">
          <a:lumMod val="40000"/>
          <a:lumOff val="6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[Crypto_Dashboard_Task4.xlsm]Pivotcharts!PivotTable2</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Most</a:t>
            </a:r>
            <a:r>
              <a:rPr lang="en-IN" baseline="0"/>
              <a:t> change in 1 Hour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4457411479759845"/>
          <c:y val="0.25124768491228822"/>
          <c:w val="0.43330227471566052"/>
          <c:h val="0.6293157626130067"/>
        </c:manualLayout>
      </c:layout>
      <c:bar3DChart>
        <c:barDir val="bar"/>
        <c:grouping val="clustered"/>
        <c:varyColors val="0"/>
        <c:ser>
          <c:idx val="0"/>
          <c:order val="0"/>
          <c:tx>
            <c:strRef>
              <c:f>Pivotcharts!$B$18</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Pivotcharts!$A$19:$A$24</c:f>
              <c:strCache>
                <c:ptCount val="5"/>
                <c:pt idx="0">
                  <c:v>Galatasaray Fan Token</c:v>
                </c:pt>
                <c:pt idx="1">
                  <c:v>Ondo US Dollar Yield</c:v>
                </c:pt>
                <c:pt idx="2">
                  <c:v>Paris Saint-Germain Fan Token</c:v>
                </c:pt>
                <c:pt idx="3">
                  <c:v>UniBot</c:v>
                </c:pt>
                <c:pt idx="4">
                  <c:v>XRP</c:v>
                </c:pt>
              </c:strCache>
            </c:strRef>
          </c:cat>
          <c:val>
            <c:numRef>
              <c:f>Pivotcharts!$B$19:$B$24</c:f>
              <c:numCache>
                <c:formatCode>General</c:formatCode>
                <c:ptCount val="5"/>
                <c:pt idx="0">
                  <c:v>3.3E-3</c:v>
                </c:pt>
                <c:pt idx="1">
                  <c:v>1E-4</c:v>
                </c:pt>
                <c:pt idx="2">
                  <c:v>1.6500000000000001E-2</c:v>
                </c:pt>
                <c:pt idx="3">
                  <c:v>5.0999999999999997E-2</c:v>
                </c:pt>
                <c:pt idx="4">
                  <c:v>1.5E-3</c:v>
                </c:pt>
              </c:numCache>
            </c:numRef>
          </c:val>
          <c:extLst>
            <c:ext xmlns:c16="http://schemas.microsoft.com/office/drawing/2014/chart" uri="{C3380CC4-5D6E-409C-BE32-E72D297353CC}">
              <c16:uniqueId val="{00000000-2C17-4B5A-B5BE-DAF4832C3C46}"/>
            </c:ext>
          </c:extLst>
        </c:ser>
        <c:dLbls>
          <c:showLegendKey val="0"/>
          <c:showVal val="1"/>
          <c:showCatName val="0"/>
          <c:showSerName val="0"/>
          <c:showPercent val="0"/>
          <c:showBubbleSize val="0"/>
        </c:dLbls>
        <c:gapWidth val="150"/>
        <c:shape val="box"/>
        <c:axId val="1660923968"/>
        <c:axId val="1270556416"/>
        <c:axId val="0"/>
      </c:bar3DChart>
      <c:catAx>
        <c:axId val="1660923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556416"/>
        <c:crosses val="autoZero"/>
        <c:auto val="1"/>
        <c:lblAlgn val="ctr"/>
        <c:lblOffset val="100"/>
        <c:noMultiLvlLbl val="0"/>
      </c:catAx>
      <c:valAx>
        <c:axId val="12705564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92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9000"/>
            <a:lumOff val="91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6">
          <a:lumMod val="75000"/>
        </a:schemeClr>
      </a:solidFill>
      <a:round/>
    </a:ln>
    <a:effectLst>
      <a:glow rad="101600">
        <a:schemeClr val="accent2">
          <a:satMod val="175000"/>
          <a:alpha val="40000"/>
        </a:schemeClr>
      </a:glow>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[Crypto_Dashboard_Task4.xlsm]Pivotcharts!PivotTable3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	Price</a:t>
            </a:r>
            <a:r>
              <a:rPr lang="en-IN" baseline="0"/>
              <a:t> vs Dollar supply</a:t>
            </a:r>
          </a:p>
          <a:p>
            <a:pPr>
              <a:defRPr/>
            </a:pPr>
            <a:endParaRPr lang="en-IN"/>
          </a:p>
        </c:rich>
      </c:tx>
      <c:layout>
        <c:manualLayout>
          <c:xMode val="edge"/>
          <c:yMode val="edge"/>
          <c:x val="1.4052326508635089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Pivotcharts!$N$2</c:f>
              <c:strCache>
                <c:ptCount val="1"/>
                <c:pt idx="0">
                  <c:v>Dollar Volume per Supply</c:v>
                </c:pt>
              </c:strCache>
            </c:strRef>
          </c:tx>
          <c:spPr>
            <a:solidFill>
              <a:schemeClr val="accent1">
                <a:tint val="77000"/>
              </a:schemeClr>
            </a:solidFill>
            <a:ln>
              <a:noFill/>
            </a:ln>
            <a:effectLst/>
          </c:spPr>
          <c:invertIfNegative val="0"/>
          <c:cat>
            <c:strRef>
              <c:f>Pivotcharts!$M$3:$M$8</c:f>
              <c:strCache>
                <c:ptCount val="5"/>
                <c:pt idx="0">
                  <c:v>Galatasaray Fan Token</c:v>
                </c:pt>
                <c:pt idx="1">
                  <c:v>Ondo US Dollar Yield</c:v>
                </c:pt>
                <c:pt idx="2">
                  <c:v>Paris Saint-Germain Fan Token</c:v>
                </c:pt>
                <c:pt idx="3">
                  <c:v>UniBot</c:v>
                </c:pt>
                <c:pt idx="4">
                  <c:v>XRP</c:v>
                </c:pt>
              </c:strCache>
            </c:strRef>
          </c:cat>
          <c:val>
            <c:numRef>
              <c:f>Pivotcharts!$N$3:$N$8</c:f>
              <c:numCache>
                <c:formatCode>General</c:formatCode>
                <c:ptCount val="5"/>
                <c:pt idx="0">
                  <c:v>2.0079235884567126</c:v>
                </c:pt>
                <c:pt idx="1">
                  <c:v>3.862051282051282E-5</c:v>
                </c:pt>
                <c:pt idx="2">
                  <c:v>2.6461737565445027</c:v>
                </c:pt>
                <c:pt idx="3">
                  <c:v>2.7190000000000001E-3</c:v>
                </c:pt>
                <c:pt idx="4">
                  <c:v>1.8069214727302153E-2</c:v>
                </c:pt>
              </c:numCache>
            </c:numRef>
          </c:val>
          <c:extLst>
            <c:ext xmlns:c16="http://schemas.microsoft.com/office/drawing/2014/chart" uri="{C3380CC4-5D6E-409C-BE32-E72D297353CC}">
              <c16:uniqueId val="{00000000-4A23-443A-94F0-41F5092EAB7B}"/>
            </c:ext>
          </c:extLst>
        </c:ser>
        <c:ser>
          <c:idx val="1"/>
          <c:order val="1"/>
          <c:tx>
            <c:strRef>
              <c:f>Pivotcharts!$O$2</c:f>
              <c:strCache>
                <c:ptCount val="1"/>
                <c:pt idx="0">
                  <c:v>  Price(USD)</c:v>
                </c:pt>
              </c:strCache>
            </c:strRef>
          </c:tx>
          <c:spPr>
            <a:solidFill>
              <a:schemeClr val="accent1">
                <a:shade val="76000"/>
              </a:schemeClr>
            </a:solidFill>
            <a:ln>
              <a:noFill/>
            </a:ln>
            <a:effectLst/>
          </c:spPr>
          <c:invertIfNegative val="0"/>
          <c:cat>
            <c:strRef>
              <c:f>Pivotcharts!$M$3:$M$8</c:f>
              <c:strCache>
                <c:ptCount val="5"/>
                <c:pt idx="0">
                  <c:v>Galatasaray Fan Token</c:v>
                </c:pt>
                <c:pt idx="1">
                  <c:v>Ondo US Dollar Yield</c:v>
                </c:pt>
                <c:pt idx="2">
                  <c:v>Paris Saint-Germain Fan Token</c:v>
                </c:pt>
                <c:pt idx="3">
                  <c:v>UniBot</c:v>
                </c:pt>
                <c:pt idx="4">
                  <c:v>XRP</c:v>
                </c:pt>
              </c:strCache>
            </c:strRef>
          </c:cat>
          <c:val>
            <c:numRef>
              <c:f>Pivotcharts!$O$3:$O$8</c:f>
              <c:numCache>
                <c:formatCode>General</c:formatCode>
                <c:ptCount val="5"/>
                <c:pt idx="0">
                  <c:v>1.32</c:v>
                </c:pt>
                <c:pt idx="1">
                  <c:v>1.1299999999999999</c:v>
                </c:pt>
                <c:pt idx="2">
                  <c:v>1.18</c:v>
                </c:pt>
                <c:pt idx="3">
                  <c:v>1.18</c:v>
                </c:pt>
                <c:pt idx="4">
                  <c:v>1.42</c:v>
                </c:pt>
              </c:numCache>
            </c:numRef>
          </c:val>
          <c:extLst>
            <c:ext xmlns:c16="http://schemas.microsoft.com/office/drawing/2014/chart" uri="{C3380CC4-5D6E-409C-BE32-E72D297353CC}">
              <c16:uniqueId val="{00000001-4A23-443A-94F0-41F5092EAB7B}"/>
            </c:ext>
          </c:extLst>
        </c:ser>
        <c:dLbls>
          <c:showLegendKey val="0"/>
          <c:showVal val="0"/>
          <c:showCatName val="0"/>
          <c:showSerName val="0"/>
          <c:showPercent val="0"/>
          <c:showBubbleSize val="0"/>
        </c:dLbls>
        <c:gapWidth val="219"/>
        <c:overlap val="-27"/>
        <c:axId val="121173104"/>
        <c:axId val="121174064"/>
      </c:barChart>
      <c:catAx>
        <c:axId val="121173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74064"/>
        <c:crosses val="autoZero"/>
        <c:auto val="1"/>
        <c:lblAlgn val="ctr"/>
        <c:lblOffset val="100"/>
        <c:noMultiLvlLbl val="0"/>
      </c:catAx>
      <c:valAx>
        <c:axId val="121174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73104"/>
        <c:crosses val="autoZero"/>
        <c:crossBetween val="between"/>
      </c:valAx>
      <c:spPr>
        <a:noFill/>
        <a:ln>
          <a:noFill/>
        </a:ln>
        <a:effectLst/>
      </c:spPr>
    </c:plotArea>
    <c:legend>
      <c:legendPos val="r"/>
      <c:layout>
        <c:manualLayout>
          <c:xMode val="edge"/>
          <c:yMode val="edge"/>
          <c:x val="0.68202592940832385"/>
          <c:y val="0.31123967994566715"/>
          <c:w val="0.31470431638450663"/>
          <c:h val="0.37212938005390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9000"/>
            <a:lumOff val="91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6">
          <a:lumMod val="75000"/>
        </a:schemeClr>
      </a:solidFill>
      <a:round/>
    </a:ln>
    <a:effectLst>
      <a:glow rad="101600">
        <a:schemeClr val="accent2">
          <a:satMod val="175000"/>
          <a:alpha val="40000"/>
        </a:schemeClr>
      </a:glow>
      <a:outerShdw blurRad="50800" dist="38100" dir="2700000" algn="tl" rotWithShape="0">
        <a:schemeClr val="accent6">
          <a:lumMod val="75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Market Capital Shares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723-4486-ACFA-90C9094EA68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723-4486-ACFA-90C9094EA68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723-4486-ACFA-90C9094EA68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723-4486-ACFA-90C9094EA68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723-4486-ACFA-90C9094EA68E}"/>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723-4486-ACFA-90C9094EA68E}"/>
              </c:ext>
            </c:extLst>
          </c:dPt>
          <c:dLbls>
            <c:spPr>
              <a:pattFill prst="pct75">
                <a:fgClr>
                  <a:schemeClr val="dk1">
                    <a:lumMod val="75000"/>
                    <a:lumOff val="25000"/>
                  </a:schemeClr>
                </a:fgClr>
                <a:bgClr>
                  <a:schemeClr val="dk1">
                    <a:lumMod val="65000"/>
                    <a:lumOff val="35000"/>
                  </a:schemeClr>
                </a:bgClr>
              </a:pattFill>
              <a:ln w="3175">
                <a:solidFill>
                  <a:schemeClr val="accent1"/>
                </a:soli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Pivotcharts!$F$36:$F$41</c:f>
              <c:strCache>
                <c:ptCount val="6"/>
                <c:pt idx="0">
                  <c:v>XRP</c:v>
                </c:pt>
                <c:pt idx="1">
                  <c:v>Ondo US Dollar Yield</c:v>
                </c:pt>
                <c:pt idx="2">
                  <c:v>Paris Saint-Germain Fan Token</c:v>
                </c:pt>
                <c:pt idx="3">
                  <c:v>Galatasaray Fan Token</c:v>
                </c:pt>
                <c:pt idx="4">
                  <c:v>UniBot</c:v>
                </c:pt>
                <c:pt idx="5">
                  <c:v>Others</c:v>
                </c:pt>
              </c:strCache>
            </c:strRef>
          </c:cat>
          <c:val>
            <c:numRef>
              <c:f>Pivotcharts!$G$36:$G$41</c:f>
              <c:numCache>
                <c:formatCode>General</c:formatCode>
                <c:ptCount val="6"/>
                <c:pt idx="0">
                  <c:v>88220000000</c:v>
                </c:pt>
                <c:pt idx="1">
                  <c:v>1330000000</c:v>
                </c:pt>
                <c:pt idx="2">
                  <c:v>18140000</c:v>
                </c:pt>
                <c:pt idx="3">
                  <c:v>10610000</c:v>
                </c:pt>
                <c:pt idx="4">
                  <c:v>1190000</c:v>
                </c:pt>
                <c:pt idx="5">
                  <c:v>0</c:v>
                </c:pt>
              </c:numCache>
            </c:numRef>
          </c:val>
          <c:extLst>
            <c:ext xmlns:c16="http://schemas.microsoft.com/office/drawing/2014/chart" uri="{C3380CC4-5D6E-409C-BE32-E72D297353CC}">
              <c16:uniqueId val="{0000000C-C723-4486-ACFA-90C9094EA68E}"/>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rad="139700">
        <a:schemeClr val="accent2">
          <a:satMod val="175000"/>
          <a:alpha val="40000"/>
        </a:schemeClr>
      </a:glow>
      <a:outerShdw blurRad="50800" dist="50800" dir="5400000" algn="ctr" rotWithShape="0">
        <a:schemeClr val="accent6">
          <a:lumMod val="60000"/>
          <a:lumOff val="40000"/>
        </a:schemeClr>
      </a:outerShdw>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[Crypto_Dashboard_Task4.xlsm]Pivotcharts!PivotTable10</c:name>
    <c:fmtId val="7"/>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a:t>Top 10 Crypto Coins by 24h Volume</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Pivotcharts!$J$69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Pivotcharts!$I$70:$I$80</c:f>
              <c:strCache>
                <c:ptCount val="10"/>
                <c:pt idx="0">
                  <c:v>Bitcoin</c:v>
                </c:pt>
                <c:pt idx="1">
                  <c:v>BNB</c:v>
                </c:pt>
                <c:pt idx="2">
                  <c:v>BUILDon</c:v>
                </c:pt>
                <c:pt idx="3">
                  <c:v>Celestia</c:v>
                </c:pt>
                <c:pt idx="4">
                  <c:v>Curve DAO Token</c:v>
                </c:pt>
                <c:pt idx="5">
                  <c:v>Dogecoin</c:v>
                </c:pt>
                <c:pt idx="6">
                  <c:v>ether.fi</c:v>
                </c:pt>
                <c:pt idx="7">
                  <c:v>Ethereum</c:v>
                </c:pt>
                <c:pt idx="8">
                  <c:v>OpenGradient</c:v>
                </c:pt>
                <c:pt idx="9">
                  <c:v>USDC</c:v>
                </c:pt>
              </c:strCache>
            </c:strRef>
          </c:cat>
          <c:val>
            <c:numRef>
              <c:f>Pivotcharts!$J$70:$J$80</c:f>
              <c:numCache>
                <c:formatCode>General</c:formatCode>
                <c:ptCount val="10"/>
                <c:pt idx="0">
                  <c:v>16628011956</c:v>
                </c:pt>
                <c:pt idx="1">
                  <c:v>778535503</c:v>
                </c:pt>
                <c:pt idx="2">
                  <c:v>43376749</c:v>
                </c:pt>
                <c:pt idx="3">
                  <c:v>41931037</c:v>
                </c:pt>
                <c:pt idx="4">
                  <c:v>38651475</c:v>
                </c:pt>
                <c:pt idx="5">
                  <c:v>631560189</c:v>
                </c:pt>
                <c:pt idx="6">
                  <c:v>25479355</c:v>
                </c:pt>
                <c:pt idx="7">
                  <c:v>10716404174</c:v>
                </c:pt>
                <c:pt idx="8">
                  <c:v>743386018</c:v>
                </c:pt>
                <c:pt idx="9">
                  <c:v>5322893046</c:v>
                </c:pt>
              </c:numCache>
            </c:numRef>
          </c:val>
          <c:extLst>
            <c:ext xmlns:c16="http://schemas.microsoft.com/office/drawing/2014/chart" uri="{C3380CC4-5D6E-409C-BE32-E72D297353CC}">
              <c16:uniqueId val="{00000000-5B76-46C1-AB37-725AFA99DF5B}"/>
            </c:ext>
          </c:extLst>
        </c:ser>
        <c:dLbls>
          <c:dLblPos val="outEnd"/>
          <c:showLegendKey val="0"/>
          <c:showVal val="1"/>
          <c:showCatName val="0"/>
          <c:showSerName val="0"/>
          <c:showPercent val="0"/>
          <c:showBubbleSize val="0"/>
        </c:dLbls>
        <c:gapWidth val="219"/>
        <c:axId val="565731343"/>
        <c:axId val="1633443135"/>
      </c:barChart>
      <c:catAx>
        <c:axId val="5657313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443135"/>
        <c:crosses val="autoZero"/>
        <c:auto val="1"/>
        <c:lblAlgn val="ctr"/>
        <c:lblOffset val="100"/>
        <c:noMultiLvlLbl val="0"/>
      </c:catAx>
      <c:valAx>
        <c:axId val="16334431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313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49000">
          <a:schemeClr val="accent1">
            <a:lumMod val="5000"/>
            <a:lumOff val="95000"/>
          </a:schemeClr>
        </a:gs>
        <a:gs pos="30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6"/>
      </a:solidFill>
      <a:round/>
    </a:ln>
    <a:effectLst>
      <a:glow rad="139700">
        <a:schemeClr val="accent2">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[Crypto_Dashboard_Task4.xlsm]Liquidity_Analysis!PivotTable1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5 Crypto Liquidity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Liquidity_Analysis!$B$3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F-42A8-990C-025996BB7E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6DF-42A8-990C-025996BB7E8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6DF-42A8-990C-025996BB7E8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6DF-42A8-990C-025996BB7E8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6DF-42A8-990C-025996BB7E8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extLst>
          </c:dLbls>
          <c:cat>
            <c:strRef>
              <c:f>Liquidity_Analysis!$A$4:$A$9</c:f>
              <c:strCache>
                <c:ptCount val="5"/>
                <c:pt idx="0">
                  <c:v>Bitcoin</c:v>
                </c:pt>
                <c:pt idx="1">
                  <c:v>Ethereum</c:v>
                </c:pt>
                <c:pt idx="2">
                  <c:v>Solana</c:v>
                </c:pt>
                <c:pt idx="3">
                  <c:v>BNB</c:v>
                </c:pt>
                <c:pt idx="4">
                  <c:v>ProShares UltraPro QQQ Tokenized Stock (Ondo)</c:v>
                </c:pt>
              </c:strCache>
            </c:strRef>
          </c:cat>
          <c:val>
            <c:numRef>
              <c:f>Liquidity_Analysis!$B$4:$B$9</c:f>
              <c:numCache>
                <c:formatCode>General</c:formatCode>
                <c:ptCount val="5"/>
                <c:pt idx="0">
                  <c:v>16628011956</c:v>
                </c:pt>
                <c:pt idx="1">
                  <c:v>10716404174</c:v>
                </c:pt>
                <c:pt idx="2">
                  <c:v>3160895215</c:v>
                </c:pt>
                <c:pt idx="3">
                  <c:v>778535503</c:v>
                </c:pt>
                <c:pt idx="4">
                  <c:v>3866702</c:v>
                </c:pt>
              </c:numCache>
            </c:numRef>
          </c:val>
          <c:extLst>
            <c:ext xmlns:c16="http://schemas.microsoft.com/office/drawing/2014/chart" uri="{C3380CC4-5D6E-409C-BE32-E72D297353CC}">
              <c16:uniqueId val="{00000000-6171-4E84-A702-5C2ACC2A9727}"/>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rad="139700">
        <a:schemeClr val="accent2">
          <a:satMod val="175000"/>
          <a:alpha val="40000"/>
        </a:schemeClr>
      </a:glow>
      <a:outerShdw blurRad="50800" dist="114300" dir="5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[Crypto_Dashboard_Task4.xlsm]Price_Analysis!PivotTable1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Crypto Price Change Comparison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Price_Analysis!$B$1</c:f>
              <c:strCache>
                <c:ptCount val="1"/>
                <c:pt idx="0">
                  <c:v>Sum of Price(USD)</c:v>
                </c:pt>
              </c:strCache>
            </c:strRef>
          </c:tx>
          <c:spPr>
            <a:solidFill>
              <a:schemeClr val="accent1"/>
            </a:solidFill>
            <a:ln>
              <a:noFill/>
            </a:ln>
            <a:effectLst/>
          </c:spPr>
          <c:invertIfNegative val="0"/>
          <c:cat>
            <c:strRef>
              <c:f>Price_Analysis!$A$2:$A$13</c:f>
              <c:strCache>
                <c:ptCount val="11"/>
                <c:pt idx="0">
                  <c:v>GMX</c:v>
                </c:pt>
                <c:pt idx="1">
                  <c:v>LAB</c:v>
                </c:pt>
                <c:pt idx="2">
                  <c:v>Jupiter Perps LP</c:v>
                </c:pt>
                <c:pt idx="3">
                  <c:v>ssv.network</c:v>
                </c:pt>
                <c:pt idx="4">
                  <c:v>XRP</c:v>
                </c:pt>
                <c:pt idx="5">
                  <c:v>Galatasaray Fan Token</c:v>
                </c:pt>
                <c:pt idx="6">
                  <c:v>Paris Saint-Germain Fan Token</c:v>
                </c:pt>
                <c:pt idx="7">
                  <c:v>Ondo US Dollar Yield</c:v>
                </c:pt>
                <c:pt idx="8">
                  <c:v>UniBot</c:v>
                </c:pt>
                <c:pt idx="9">
                  <c:v>Tether</c:v>
                </c:pt>
                <c:pt idx="10">
                  <c:v>USDC</c:v>
                </c:pt>
              </c:strCache>
            </c:strRef>
          </c:cat>
          <c:val>
            <c:numRef>
              <c:f>Price_Analysis!$B$2:$B$13</c:f>
              <c:numCache>
                <c:formatCode>0.00</c:formatCode>
                <c:ptCount val="11"/>
                <c:pt idx="0">
                  <c:v>7.8</c:v>
                </c:pt>
                <c:pt idx="1">
                  <c:v>5.08</c:v>
                </c:pt>
                <c:pt idx="2">
                  <c:v>4.1100000000000003</c:v>
                </c:pt>
                <c:pt idx="3">
                  <c:v>3.09</c:v>
                </c:pt>
                <c:pt idx="4">
                  <c:v>1.42</c:v>
                </c:pt>
                <c:pt idx="5">
                  <c:v>1.32</c:v>
                </c:pt>
                <c:pt idx="6">
                  <c:v>1.18</c:v>
                </c:pt>
                <c:pt idx="7">
                  <c:v>1.1299999999999999</c:v>
                </c:pt>
                <c:pt idx="8">
                  <c:v>1.18</c:v>
                </c:pt>
                <c:pt idx="9">
                  <c:v>0.99980000000000002</c:v>
                </c:pt>
                <c:pt idx="10">
                  <c:v>0.99980000000000002</c:v>
                </c:pt>
              </c:numCache>
            </c:numRef>
          </c:val>
          <c:extLst>
            <c:ext xmlns:c16="http://schemas.microsoft.com/office/drawing/2014/chart" uri="{C3380CC4-5D6E-409C-BE32-E72D297353CC}">
              <c16:uniqueId val="{00000000-946C-4183-90F2-CE170BB3EE08}"/>
            </c:ext>
          </c:extLst>
        </c:ser>
        <c:ser>
          <c:idx val="1"/>
          <c:order val="1"/>
          <c:tx>
            <c:strRef>
              <c:f>Price_Analysis!$C$1</c:f>
              <c:strCache>
                <c:ptCount val="1"/>
                <c:pt idx="0">
                  <c:v>Sum of Previous Price</c:v>
                </c:pt>
              </c:strCache>
            </c:strRef>
          </c:tx>
          <c:spPr>
            <a:solidFill>
              <a:schemeClr val="accent2"/>
            </a:solidFill>
            <a:ln>
              <a:noFill/>
            </a:ln>
            <a:effectLst/>
          </c:spPr>
          <c:invertIfNegative val="0"/>
          <c:cat>
            <c:strRef>
              <c:f>Price_Analysis!$A$2:$A$13</c:f>
              <c:strCache>
                <c:ptCount val="11"/>
                <c:pt idx="0">
                  <c:v>GMX</c:v>
                </c:pt>
                <c:pt idx="1">
                  <c:v>LAB</c:v>
                </c:pt>
                <c:pt idx="2">
                  <c:v>Jupiter Perps LP</c:v>
                </c:pt>
                <c:pt idx="3">
                  <c:v>ssv.network</c:v>
                </c:pt>
                <c:pt idx="4">
                  <c:v>XRP</c:v>
                </c:pt>
                <c:pt idx="5">
                  <c:v>Galatasaray Fan Token</c:v>
                </c:pt>
                <c:pt idx="6">
                  <c:v>Paris Saint-Germain Fan Token</c:v>
                </c:pt>
                <c:pt idx="7">
                  <c:v>Ondo US Dollar Yield</c:v>
                </c:pt>
                <c:pt idx="8">
                  <c:v>UniBot</c:v>
                </c:pt>
                <c:pt idx="9">
                  <c:v>Tether</c:v>
                </c:pt>
                <c:pt idx="10">
                  <c:v>USDC</c:v>
                </c:pt>
              </c:strCache>
            </c:strRef>
          </c:cat>
          <c:val>
            <c:numRef>
              <c:f>Price_Analysis!$C$2:$C$13</c:f>
              <c:numCache>
                <c:formatCode>General</c:formatCode>
                <c:ptCount val="11"/>
                <c:pt idx="0">
                  <c:v>7.7945438193264716</c:v>
                </c:pt>
                <c:pt idx="1">
                  <c:v>5.0643006679294187</c:v>
                </c:pt>
                <c:pt idx="2">
                  <c:v>4.1046639368820532</c:v>
                </c:pt>
                <c:pt idx="3">
                  <c:v>3.0807577268195416</c:v>
                </c:pt>
                <c:pt idx="4">
                  <c:v>1.4178731902146777</c:v>
                </c:pt>
                <c:pt idx="5">
                  <c:v>1.3156583275191867</c:v>
                </c:pt>
                <c:pt idx="6">
                  <c:v>1.1608460403344811</c:v>
                </c:pt>
                <c:pt idx="7">
                  <c:v>1.1298870112988699</c:v>
                </c:pt>
                <c:pt idx="8">
                  <c:v>1.1227402473834442</c:v>
                </c:pt>
                <c:pt idx="9">
                  <c:v>0.99980000000000002</c:v>
                </c:pt>
                <c:pt idx="10">
                  <c:v>0.99970002999700036</c:v>
                </c:pt>
              </c:numCache>
            </c:numRef>
          </c:val>
          <c:extLst>
            <c:ext xmlns:c16="http://schemas.microsoft.com/office/drawing/2014/chart" uri="{C3380CC4-5D6E-409C-BE32-E72D297353CC}">
              <c16:uniqueId val="{00000001-946C-4183-90F2-CE170BB3EE08}"/>
            </c:ext>
          </c:extLst>
        </c:ser>
        <c:dLbls>
          <c:showLegendKey val="0"/>
          <c:showVal val="0"/>
          <c:showCatName val="0"/>
          <c:showSerName val="0"/>
          <c:showPercent val="0"/>
          <c:showBubbleSize val="0"/>
        </c:dLbls>
        <c:gapWidth val="215"/>
        <c:overlap val="-27"/>
        <c:axId val="1938684960"/>
        <c:axId val="1938687360"/>
      </c:barChart>
      <c:catAx>
        <c:axId val="1938684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687360"/>
        <c:crosses val="autoZero"/>
        <c:auto val="1"/>
        <c:lblAlgn val="ctr"/>
        <c:lblOffset val="100"/>
        <c:noMultiLvlLbl val="0"/>
      </c:catAx>
      <c:valAx>
        <c:axId val="1938687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684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[Crypto_Dashboard_Task4.xlsm]Historical_Insights!PivotTable1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Historical Price Change Insights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Historical_Insights!$B$3</c:f>
              <c:strCache>
                <c:ptCount val="1"/>
                <c:pt idx="0">
                  <c:v>Sum of Previous 7d Price</c:v>
                </c:pt>
              </c:strCache>
            </c:strRef>
          </c:tx>
          <c:spPr>
            <a:solidFill>
              <a:schemeClr val="accent1"/>
            </a:solidFill>
            <a:ln>
              <a:noFill/>
            </a:ln>
            <a:effectLst/>
          </c:spPr>
          <c:invertIfNegative val="0"/>
          <c:cat>
            <c:strRef>
              <c:f>Historical_Insights!$A$4:$A$14</c:f>
              <c:strCache>
                <c:ptCount val="10"/>
                <c:pt idx="0">
                  <c:v>Azit</c:v>
                </c:pt>
                <c:pt idx="1">
                  <c:v>Collect on Fanable</c:v>
                </c:pt>
                <c:pt idx="2">
                  <c:v>Devve</c:v>
                </c:pt>
                <c:pt idx="3">
                  <c:v>Forest Protocol</c:v>
                </c:pt>
                <c:pt idx="4">
                  <c:v>Fulcrom Finance</c:v>
                </c:pt>
                <c:pt idx="5">
                  <c:v>Games for a Living</c:v>
                </c:pt>
                <c:pt idx="6">
                  <c:v>Orochi Network</c:v>
                </c:pt>
                <c:pt idx="7">
                  <c:v>Pepecoin</c:v>
                </c:pt>
                <c:pt idx="8">
                  <c:v>Project WITH</c:v>
                </c:pt>
                <c:pt idx="9">
                  <c:v>UniBot</c:v>
                </c:pt>
              </c:strCache>
            </c:strRef>
          </c:cat>
          <c:val>
            <c:numRef>
              <c:f>Historical_Insights!$B$4:$B$14</c:f>
              <c:numCache>
                <c:formatCode>General</c:formatCode>
                <c:ptCount val="10"/>
                <c:pt idx="0">
                  <c:v>3.4970563498738436E-3</c:v>
                </c:pt>
                <c:pt idx="1">
                  <c:v>3.6625379378229843E-2</c:v>
                </c:pt>
                <c:pt idx="2">
                  <c:v>2.3921798959556973E-2</c:v>
                </c:pt>
                <c:pt idx="3">
                  <c:v>9.3056471105251587E-2</c:v>
                </c:pt>
                <c:pt idx="4">
                  <c:v>9.1214470284237722E-4</c:v>
                </c:pt>
                <c:pt idx="5">
                  <c:v>2.2222222222222223E-4</c:v>
                </c:pt>
                <c:pt idx="6">
                  <c:v>0.1379855277385012</c:v>
                </c:pt>
                <c:pt idx="7">
                  <c:v>1.0535446731330336E-4</c:v>
                </c:pt>
                <c:pt idx="8">
                  <c:v>1.7963604852686312E-3</c:v>
                </c:pt>
                <c:pt idx="9">
                  <c:v>0.86956521739130432</c:v>
                </c:pt>
              </c:numCache>
            </c:numRef>
          </c:val>
          <c:extLst>
            <c:ext xmlns:c16="http://schemas.microsoft.com/office/drawing/2014/chart" uri="{C3380CC4-5D6E-409C-BE32-E72D297353CC}">
              <c16:uniqueId val="{00000000-B20B-4DFE-9D77-45C24A6B06C6}"/>
            </c:ext>
          </c:extLst>
        </c:ser>
        <c:ser>
          <c:idx val="1"/>
          <c:order val="1"/>
          <c:tx>
            <c:strRef>
              <c:f>Historical_Insights!$C$3</c:f>
              <c:strCache>
                <c:ptCount val="1"/>
                <c:pt idx="0">
                  <c:v>Sum of Previous 24h Price</c:v>
                </c:pt>
              </c:strCache>
            </c:strRef>
          </c:tx>
          <c:spPr>
            <a:solidFill>
              <a:schemeClr val="accent2"/>
            </a:solidFill>
            <a:ln>
              <a:noFill/>
            </a:ln>
            <a:effectLst/>
          </c:spPr>
          <c:invertIfNegative val="0"/>
          <c:cat>
            <c:strRef>
              <c:f>Historical_Insights!$A$4:$A$14</c:f>
              <c:strCache>
                <c:ptCount val="10"/>
                <c:pt idx="0">
                  <c:v>Azit</c:v>
                </c:pt>
                <c:pt idx="1">
                  <c:v>Collect on Fanable</c:v>
                </c:pt>
                <c:pt idx="2">
                  <c:v>Devve</c:v>
                </c:pt>
                <c:pt idx="3">
                  <c:v>Forest Protocol</c:v>
                </c:pt>
                <c:pt idx="4">
                  <c:v>Fulcrom Finance</c:v>
                </c:pt>
                <c:pt idx="5">
                  <c:v>Games for a Living</c:v>
                </c:pt>
                <c:pt idx="6">
                  <c:v>Orochi Network</c:v>
                </c:pt>
                <c:pt idx="7">
                  <c:v>Pepecoin</c:v>
                </c:pt>
                <c:pt idx="8">
                  <c:v>Project WITH</c:v>
                </c:pt>
                <c:pt idx="9">
                  <c:v>UniBot</c:v>
                </c:pt>
              </c:strCache>
            </c:strRef>
          </c:cat>
          <c:val>
            <c:numRef>
              <c:f>Historical_Insights!$C$4:$C$14</c:f>
              <c:numCache>
                <c:formatCode>General</c:formatCode>
                <c:ptCount val="10"/>
                <c:pt idx="0">
                  <c:v>4.1168316831683167E-3</c:v>
                </c:pt>
                <c:pt idx="1">
                  <c:v>4.4207920792079212E-2</c:v>
                </c:pt>
                <c:pt idx="2">
                  <c:v>2.8227722772277229E-2</c:v>
                </c:pt>
                <c:pt idx="3">
                  <c:v>0.16772277227722771</c:v>
                </c:pt>
                <c:pt idx="4">
                  <c:v>1.0485148514851486E-3</c:v>
                </c:pt>
                <c:pt idx="5">
                  <c:v>4.4534653465346533E-4</c:v>
                </c:pt>
                <c:pt idx="6">
                  <c:v>0.16425742574257424</c:v>
                </c:pt>
                <c:pt idx="7">
                  <c:v>1.3227722772277226E-4</c:v>
                </c:pt>
                <c:pt idx="8">
                  <c:v>2.0524752475247527E-3</c:v>
                </c:pt>
                <c:pt idx="9">
                  <c:v>1.1683168316831682</c:v>
                </c:pt>
              </c:numCache>
            </c:numRef>
          </c:val>
          <c:extLst>
            <c:ext xmlns:c16="http://schemas.microsoft.com/office/drawing/2014/chart" uri="{C3380CC4-5D6E-409C-BE32-E72D297353CC}">
              <c16:uniqueId val="{00000001-B20B-4DFE-9D77-45C24A6B06C6}"/>
            </c:ext>
          </c:extLst>
        </c:ser>
        <c:ser>
          <c:idx val="2"/>
          <c:order val="2"/>
          <c:tx>
            <c:strRef>
              <c:f>Historical_Insights!$D$3</c:f>
              <c:strCache>
                <c:ptCount val="1"/>
                <c:pt idx="0">
                  <c:v>Sum of 1h Change (%)</c:v>
                </c:pt>
              </c:strCache>
            </c:strRef>
          </c:tx>
          <c:spPr>
            <a:noFill/>
            <a:ln>
              <a:noFill/>
            </a:ln>
            <a:effectLst/>
          </c:spPr>
          <c:invertIfNegative val="0"/>
          <c:cat>
            <c:strRef>
              <c:f>Historical_Insights!$A$4:$A$14</c:f>
              <c:strCache>
                <c:ptCount val="10"/>
                <c:pt idx="0">
                  <c:v>Azit</c:v>
                </c:pt>
                <c:pt idx="1">
                  <c:v>Collect on Fanable</c:v>
                </c:pt>
                <c:pt idx="2">
                  <c:v>Devve</c:v>
                </c:pt>
                <c:pt idx="3">
                  <c:v>Forest Protocol</c:v>
                </c:pt>
                <c:pt idx="4">
                  <c:v>Fulcrom Finance</c:v>
                </c:pt>
                <c:pt idx="5">
                  <c:v>Games for a Living</c:v>
                </c:pt>
                <c:pt idx="6">
                  <c:v>Orochi Network</c:v>
                </c:pt>
                <c:pt idx="7">
                  <c:v>Pepecoin</c:v>
                </c:pt>
                <c:pt idx="8">
                  <c:v>Project WITH</c:v>
                </c:pt>
                <c:pt idx="9">
                  <c:v>UniBot</c:v>
                </c:pt>
              </c:strCache>
            </c:strRef>
          </c:cat>
          <c:val>
            <c:numRef>
              <c:f>Historical_Insights!$D$4:$D$14</c:f>
              <c:numCache>
                <c:formatCode>General</c:formatCode>
                <c:ptCount val="10"/>
                <c:pt idx="0">
                  <c:v>2.7E-2</c:v>
                </c:pt>
                <c:pt idx="1">
                  <c:v>3.1300000000000001E-2</c:v>
                </c:pt>
                <c:pt idx="2">
                  <c:v>2.7400000000000001E-2</c:v>
                </c:pt>
                <c:pt idx="3">
                  <c:v>0.1172</c:v>
                </c:pt>
                <c:pt idx="4">
                  <c:v>2.3E-2</c:v>
                </c:pt>
                <c:pt idx="5">
                  <c:v>0.14630000000000001</c:v>
                </c:pt>
                <c:pt idx="6">
                  <c:v>2.8899999999999999E-2</c:v>
                </c:pt>
                <c:pt idx="7">
                  <c:v>3.8300000000000001E-2</c:v>
                </c:pt>
                <c:pt idx="8">
                  <c:v>2.1999999999999999E-2</c:v>
                </c:pt>
                <c:pt idx="9">
                  <c:v>5.0999999999999997E-2</c:v>
                </c:pt>
              </c:numCache>
            </c:numRef>
          </c:val>
          <c:extLst>
            <c:ext xmlns:c16="http://schemas.microsoft.com/office/drawing/2014/chart" uri="{C3380CC4-5D6E-409C-BE32-E72D297353CC}">
              <c16:uniqueId val="{00000004-B20B-4DFE-9D77-45C24A6B06C6}"/>
            </c:ext>
          </c:extLst>
        </c:ser>
        <c:dLbls>
          <c:showLegendKey val="0"/>
          <c:showVal val="0"/>
          <c:showCatName val="0"/>
          <c:showSerName val="0"/>
          <c:showPercent val="0"/>
          <c:showBubbleSize val="0"/>
        </c:dLbls>
        <c:gapWidth val="219"/>
        <c:overlap val="-27"/>
        <c:axId val="1639935615"/>
        <c:axId val="1639934175"/>
      </c:barChart>
      <c:catAx>
        <c:axId val="1639935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934175"/>
        <c:crosses val="autoZero"/>
        <c:auto val="1"/>
        <c:lblAlgn val="ctr"/>
        <c:lblOffset val="100"/>
        <c:noMultiLvlLbl val="0"/>
      </c:catAx>
      <c:valAx>
        <c:axId val="16399341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935615"/>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1">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xdr:col>
      <xdr:colOff>220980</xdr:colOff>
      <xdr:row>0</xdr:row>
      <xdr:rowOff>175260</xdr:rowOff>
    </xdr:from>
    <xdr:to>
      <xdr:col>7</xdr:col>
      <xdr:colOff>99060</xdr:colOff>
      <xdr:row>13</xdr:row>
      <xdr:rowOff>144780</xdr:rowOff>
    </xdr:to>
    <xdr:graphicFrame macro="">
      <xdr:nvGraphicFramePr>
        <xdr:cNvPr id="2" name="Chart 1">
          <a:extLst>
            <a:ext uri="{FF2B5EF4-FFF2-40B4-BE49-F238E27FC236}">
              <a16:creationId xmlns:a16="http://schemas.microsoft.com/office/drawing/2014/main" id="{EB051F83-9BFF-79FA-2A9B-5E20816A47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342900</xdr:colOff>
      <xdr:row>1</xdr:row>
      <xdr:rowOff>7620</xdr:rowOff>
    </xdr:from>
    <xdr:to>
      <xdr:col>8</xdr:col>
      <xdr:colOff>1007160</xdr:colOff>
      <xdr:row>14</xdr:row>
      <xdr:rowOff>97155</xdr:rowOff>
    </xdr:to>
    <mc:AlternateContent xmlns:mc="http://schemas.openxmlformats.org/markup-compatibility/2006" xmlns:a14="http://schemas.microsoft.com/office/drawing/2010/main">
      <mc:Choice Requires="a14">
        <xdr:graphicFrame macro="">
          <xdr:nvGraphicFramePr>
            <xdr:cNvPr id="3" name="Price Range">
              <a:extLst>
                <a:ext uri="{FF2B5EF4-FFF2-40B4-BE49-F238E27FC236}">
                  <a16:creationId xmlns:a16="http://schemas.microsoft.com/office/drawing/2014/main" id="{104BCF92-F391-9F85-157B-BF613B5FB49F}"/>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5707380" y="1905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183726</xdr:colOff>
      <xdr:row>16</xdr:row>
      <xdr:rowOff>110067</xdr:rowOff>
    </xdr:from>
    <xdr:to>
      <xdr:col>7</xdr:col>
      <xdr:colOff>190500</xdr:colOff>
      <xdr:row>29</xdr:row>
      <xdr:rowOff>95250</xdr:rowOff>
    </xdr:to>
    <xdr:graphicFrame macro="">
      <xdr:nvGraphicFramePr>
        <xdr:cNvPr id="4" name="Chart 3">
          <a:extLst>
            <a:ext uri="{FF2B5EF4-FFF2-40B4-BE49-F238E27FC236}">
              <a16:creationId xmlns:a16="http://schemas.microsoft.com/office/drawing/2014/main" id="{6CBC5EEE-669B-BE9B-9134-9129D414FF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253998</xdr:colOff>
      <xdr:row>16</xdr:row>
      <xdr:rowOff>105833</xdr:rowOff>
    </xdr:from>
    <xdr:to>
      <xdr:col>11</xdr:col>
      <xdr:colOff>577273</xdr:colOff>
      <xdr:row>29</xdr:row>
      <xdr:rowOff>122767</xdr:rowOff>
    </xdr:to>
    <xdr:graphicFrame macro="">
      <xdr:nvGraphicFramePr>
        <xdr:cNvPr id="5" name="Chart 4">
          <a:extLst>
            <a:ext uri="{FF2B5EF4-FFF2-40B4-BE49-F238E27FC236}">
              <a16:creationId xmlns:a16="http://schemas.microsoft.com/office/drawing/2014/main" id="{6B45CEF4-7B45-9E12-3571-B031F76796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412750</xdr:colOff>
      <xdr:row>31</xdr:row>
      <xdr:rowOff>137582</xdr:rowOff>
    </xdr:from>
    <xdr:to>
      <xdr:col>12</xdr:col>
      <xdr:colOff>138546</xdr:colOff>
      <xdr:row>43</xdr:row>
      <xdr:rowOff>169333</xdr:rowOff>
    </xdr:to>
    <xdr:graphicFrame macro="">
      <xdr:nvGraphicFramePr>
        <xdr:cNvPr id="6" name="Chart 5">
          <a:extLst>
            <a:ext uri="{FF2B5EF4-FFF2-40B4-BE49-F238E27FC236}">
              <a16:creationId xmlns:a16="http://schemas.microsoft.com/office/drawing/2014/main" id="{67FC5E3B-3AAB-435E-A896-0EA4E09A08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275166</xdr:colOff>
      <xdr:row>46</xdr:row>
      <xdr:rowOff>116416</xdr:rowOff>
    </xdr:from>
    <xdr:to>
      <xdr:col>12</xdr:col>
      <xdr:colOff>211666</xdr:colOff>
      <xdr:row>52</xdr:row>
      <xdr:rowOff>137583</xdr:rowOff>
    </xdr:to>
    <xdr:sp macro="" textlink="I49">
      <xdr:nvSpPr>
        <xdr:cNvPr id="10" name="Rectangle: Rounded Corners 9">
          <a:extLst>
            <a:ext uri="{FF2B5EF4-FFF2-40B4-BE49-F238E27FC236}">
              <a16:creationId xmlns:a16="http://schemas.microsoft.com/office/drawing/2014/main" id="{B5AFF677-3BC4-6F97-81C0-8519D8A7B08F}"/>
            </a:ext>
          </a:extLst>
        </xdr:cNvPr>
        <xdr:cNvSpPr/>
      </xdr:nvSpPr>
      <xdr:spPr>
        <a:xfrm>
          <a:off x="9345083" y="8392583"/>
          <a:ext cx="1778000" cy="1100667"/>
        </a:xfrm>
        <a:prstGeom prst="roundRect">
          <a:avLst/>
        </a:prstGeom>
        <a:gradFill flip="none" rotWithShape="1">
          <a:gsLst>
            <a:gs pos="50000">
              <a:schemeClr val="accent1">
                <a:tint val="66000"/>
                <a:satMod val="160000"/>
              </a:schemeClr>
            </a:gs>
            <a:gs pos="0">
              <a:schemeClr val="accent1">
                <a:tint val="44500"/>
                <a:satMod val="160000"/>
              </a:schemeClr>
            </a:gs>
            <a:gs pos="100000">
              <a:schemeClr val="accent1">
                <a:tint val="23500"/>
                <a:satMod val="160000"/>
              </a:schemeClr>
            </a:gs>
          </a:gsLst>
          <a:path path="circle">
            <a:fillToRect l="50000" t="50000" r="50000" b="50000"/>
          </a:path>
          <a:tileRect/>
        </a:gradFill>
        <a:ln>
          <a:solidFill>
            <a:schemeClr val="accent6">
              <a:lumMod val="75000"/>
            </a:schemeClr>
          </a:solidFill>
        </a:ln>
        <a:effectLst>
          <a:glow rad="101600">
            <a:schemeClr val="accent6">
              <a:lumMod val="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C52762D-981E-4496-B23A-27954C4F008D}" type="TxLink">
            <a:rPr lang="en-US" sz="1100" b="0" i="0" u="none" strike="noStrike">
              <a:solidFill>
                <a:srgbClr val="000000"/>
              </a:solidFill>
              <a:latin typeface="Calibri"/>
              <a:ea typeface="Calibri"/>
              <a:cs typeface="Calibri"/>
            </a:rPr>
            <a:pPr algn="ctr"/>
            <a:t>89,57,99,40,000</a:t>
          </a:fld>
          <a:endParaRPr lang="en-IN" sz="1100"/>
        </a:p>
      </xdr:txBody>
    </xdr:sp>
    <xdr:clientData/>
  </xdr:twoCellAnchor>
  <xdr:twoCellAnchor>
    <xdr:from>
      <xdr:col>9</xdr:col>
      <xdr:colOff>285750</xdr:colOff>
      <xdr:row>46</xdr:row>
      <xdr:rowOff>127000</xdr:rowOff>
    </xdr:from>
    <xdr:to>
      <xdr:col>12</xdr:col>
      <xdr:colOff>190500</xdr:colOff>
      <xdr:row>48</xdr:row>
      <xdr:rowOff>127000</xdr:rowOff>
    </xdr:to>
    <xdr:sp macro="" textlink="">
      <xdr:nvSpPr>
        <xdr:cNvPr id="11" name="TextBox 10">
          <a:extLst>
            <a:ext uri="{FF2B5EF4-FFF2-40B4-BE49-F238E27FC236}">
              <a16:creationId xmlns:a16="http://schemas.microsoft.com/office/drawing/2014/main" id="{00CD4D06-1A4C-F0D0-42FC-56E4F302D5CE}"/>
            </a:ext>
          </a:extLst>
        </xdr:cNvPr>
        <xdr:cNvSpPr txBox="1"/>
      </xdr:nvSpPr>
      <xdr:spPr>
        <a:xfrm>
          <a:off x="9355667" y="8403167"/>
          <a:ext cx="1746250" cy="359833"/>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t>sum</a:t>
          </a:r>
          <a:r>
            <a:rPr lang="en-IN" sz="1100" b="1" baseline="0"/>
            <a:t> of </a:t>
          </a:r>
          <a:r>
            <a:rPr lang="en-IN" sz="900" b="1" baseline="0"/>
            <a:t>market capital</a:t>
          </a:r>
          <a:endParaRPr lang="en-IN" sz="1100" b="1" baseline="0"/>
        </a:p>
        <a:p>
          <a:pPr algn="ctr"/>
          <a:endParaRPr lang="en-IN" sz="1100"/>
        </a:p>
      </xdr:txBody>
    </xdr:sp>
    <xdr:clientData/>
  </xdr:twoCellAnchor>
  <xdr:twoCellAnchor>
    <xdr:from>
      <xdr:col>9</xdr:col>
      <xdr:colOff>317500</xdr:colOff>
      <xdr:row>54</xdr:row>
      <xdr:rowOff>95251</xdr:rowOff>
    </xdr:from>
    <xdr:to>
      <xdr:col>12</xdr:col>
      <xdr:colOff>254000</xdr:colOff>
      <xdr:row>60</xdr:row>
      <xdr:rowOff>116418</xdr:rowOff>
    </xdr:to>
    <xdr:sp macro="" textlink="I54">
      <xdr:nvSpPr>
        <xdr:cNvPr id="12" name="Rectangle: Rounded Corners 11">
          <a:extLst>
            <a:ext uri="{FF2B5EF4-FFF2-40B4-BE49-F238E27FC236}">
              <a16:creationId xmlns:a16="http://schemas.microsoft.com/office/drawing/2014/main" id="{9867664A-D7DA-47A1-9696-D0BD184B4D4C}"/>
            </a:ext>
          </a:extLst>
        </xdr:cNvPr>
        <xdr:cNvSpPr/>
      </xdr:nvSpPr>
      <xdr:spPr>
        <a:xfrm>
          <a:off x="9387417" y="9810751"/>
          <a:ext cx="1778000" cy="110066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solidFill>
            <a:schemeClr val="accent6">
              <a:lumMod val="75000"/>
            </a:schemeClr>
          </a:solidFill>
        </a:ln>
        <a:effectLst>
          <a:glow rad="101600">
            <a:schemeClr val="accent6">
              <a:lumMod val="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637ECBE-D71E-4D2D-B65C-6EE34627FFAE}" type="TxLink">
            <a:rPr lang="en-US" sz="1100" b="0" i="0" u="none" strike="noStrike">
              <a:solidFill>
                <a:srgbClr val="000000"/>
              </a:solidFill>
              <a:latin typeface="Calibri"/>
              <a:ea typeface="Calibri"/>
              <a:cs typeface="Calibri"/>
            </a:rPr>
            <a:pPr algn="ctr"/>
            <a:t>XRP</a:t>
          </a:fld>
          <a:endParaRPr lang="en-IN" sz="1100"/>
        </a:p>
      </xdr:txBody>
    </xdr:sp>
    <xdr:clientData/>
  </xdr:twoCellAnchor>
  <xdr:twoCellAnchor>
    <xdr:from>
      <xdr:col>9</xdr:col>
      <xdr:colOff>317500</xdr:colOff>
      <xdr:row>54</xdr:row>
      <xdr:rowOff>116417</xdr:rowOff>
    </xdr:from>
    <xdr:to>
      <xdr:col>12</xdr:col>
      <xdr:colOff>222249</xdr:colOff>
      <xdr:row>56</xdr:row>
      <xdr:rowOff>116417</xdr:rowOff>
    </xdr:to>
    <xdr:sp macro="" textlink="">
      <xdr:nvSpPr>
        <xdr:cNvPr id="13" name="TextBox 12">
          <a:extLst>
            <a:ext uri="{FF2B5EF4-FFF2-40B4-BE49-F238E27FC236}">
              <a16:creationId xmlns:a16="http://schemas.microsoft.com/office/drawing/2014/main" id="{5033CE94-9E67-41AD-A5B6-A23216500631}"/>
            </a:ext>
          </a:extLst>
        </xdr:cNvPr>
        <xdr:cNvSpPr txBox="1"/>
      </xdr:nvSpPr>
      <xdr:spPr>
        <a:xfrm>
          <a:off x="9387417" y="9831917"/>
          <a:ext cx="1746249" cy="359833"/>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1" baseline="0"/>
            <a:t>Highest Price Coi</a:t>
          </a:r>
          <a:r>
            <a:rPr lang="en-IN" sz="800" b="1" baseline="0"/>
            <a:t>n</a:t>
          </a:r>
        </a:p>
        <a:p>
          <a:pPr algn="ctr"/>
          <a:endParaRPr lang="en-IN" sz="1100"/>
        </a:p>
      </xdr:txBody>
    </xdr:sp>
    <xdr:clientData/>
  </xdr:twoCellAnchor>
  <xdr:twoCellAnchor>
    <xdr:from>
      <xdr:col>12</xdr:col>
      <xdr:colOff>613834</xdr:colOff>
      <xdr:row>46</xdr:row>
      <xdr:rowOff>137583</xdr:rowOff>
    </xdr:from>
    <xdr:to>
      <xdr:col>13</xdr:col>
      <xdr:colOff>804334</xdr:colOff>
      <xdr:row>52</xdr:row>
      <xdr:rowOff>158750</xdr:rowOff>
    </xdr:to>
    <xdr:sp macro="" textlink="I51">
      <xdr:nvSpPr>
        <xdr:cNvPr id="14" name="Rectangle: Rounded Corners 13">
          <a:extLst>
            <a:ext uri="{FF2B5EF4-FFF2-40B4-BE49-F238E27FC236}">
              <a16:creationId xmlns:a16="http://schemas.microsoft.com/office/drawing/2014/main" id="{B663D9CA-69C0-4F1A-B131-A3482AB7765D}"/>
            </a:ext>
          </a:extLst>
        </xdr:cNvPr>
        <xdr:cNvSpPr/>
      </xdr:nvSpPr>
      <xdr:spPr>
        <a:xfrm>
          <a:off x="11525251" y="8413750"/>
          <a:ext cx="1778000" cy="110066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solidFill>
            <a:schemeClr val="accent6">
              <a:lumMod val="75000"/>
            </a:schemeClr>
          </a:solidFill>
        </a:ln>
        <a:effectLst>
          <a:glow rad="101600">
            <a:schemeClr val="accent6">
              <a:lumMod val="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0B5C3AD-A6E1-4FE2-8D24-93EEB0AE45A8}" type="TxLink">
            <a:rPr lang="en-US" sz="1100" b="0" i="0" u="none" strike="noStrike">
              <a:solidFill>
                <a:srgbClr val="000000"/>
              </a:solidFill>
              <a:latin typeface="Calibri"/>
              <a:ea typeface="Calibri"/>
              <a:cs typeface="Calibri"/>
            </a:rPr>
            <a:pPr algn="ctr"/>
            <a:t>6.23</a:t>
          </a:fld>
          <a:endParaRPr lang="en-IN" sz="1100"/>
        </a:p>
      </xdr:txBody>
    </xdr:sp>
    <xdr:clientData/>
  </xdr:twoCellAnchor>
  <xdr:twoCellAnchor>
    <xdr:from>
      <xdr:col>12</xdr:col>
      <xdr:colOff>645584</xdr:colOff>
      <xdr:row>46</xdr:row>
      <xdr:rowOff>169334</xdr:rowOff>
    </xdr:from>
    <xdr:to>
      <xdr:col>13</xdr:col>
      <xdr:colOff>783166</xdr:colOff>
      <xdr:row>49</xdr:row>
      <xdr:rowOff>31750</xdr:rowOff>
    </xdr:to>
    <xdr:sp macro="" textlink="">
      <xdr:nvSpPr>
        <xdr:cNvPr id="15" name="TextBox 14">
          <a:extLst>
            <a:ext uri="{FF2B5EF4-FFF2-40B4-BE49-F238E27FC236}">
              <a16:creationId xmlns:a16="http://schemas.microsoft.com/office/drawing/2014/main" id="{4D869C87-39FE-41F0-9EBE-B345BE49EA08}"/>
            </a:ext>
          </a:extLst>
        </xdr:cNvPr>
        <xdr:cNvSpPr txBox="1"/>
      </xdr:nvSpPr>
      <xdr:spPr>
        <a:xfrm>
          <a:off x="11557001" y="8445501"/>
          <a:ext cx="1725082" cy="402166"/>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t>Total price of coins</a:t>
          </a:r>
        </a:p>
        <a:p>
          <a:pPr algn="ctr"/>
          <a:endParaRPr lang="en-IN" sz="1100"/>
        </a:p>
      </xdr:txBody>
    </xdr:sp>
    <xdr:clientData/>
  </xdr:twoCellAnchor>
  <xdr:twoCellAnchor>
    <xdr:from>
      <xdr:col>12</xdr:col>
      <xdr:colOff>518583</xdr:colOff>
      <xdr:row>54</xdr:row>
      <xdr:rowOff>84667</xdr:rowOff>
    </xdr:from>
    <xdr:to>
      <xdr:col>13</xdr:col>
      <xdr:colOff>709083</xdr:colOff>
      <xdr:row>60</xdr:row>
      <xdr:rowOff>105834</xdr:rowOff>
    </xdr:to>
    <xdr:sp macro="" textlink="I56">
      <xdr:nvSpPr>
        <xdr:cNvPr id="16" name="Rectangle: Rounded Corners 15">
          <a:extLst>
            <a:ext uri="{FF2B5EF4-FFF2-40B4-BE49-F238E27FC236}">
              <a16:creationId xmlns:a16="http://schemas.microsoft.com/office/drawing/2014/main" id="{A66F856D-EC32-472E-9D30-EE4A0DF8C61D}"/>
            </a:ext>
          </a:extLst>
        </xdr:cNvPr>
        <xdr:cNvSpPr/>
      </xdr:nvSpPr>
      <xdr:spPr>
        <a:xfrm>
          <a:off x="11430000" y="9800167"/>
          <a:ext cx="1778000" cy="110066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solidFill>
            <a:schemeClr val="accent6">
              <a:lumMod val="75000"/>
            </a:schemeClr>
          </a:solidFill>
        </a:ln>
        <a:effectLst>
          <a:glow rad="101600">
            <a:schemeClr val="accent6">
              <a:lumMod val="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4E3D22D-79FD-40A9-A2E4-DA113AFFD756}" type="TxLink">
            <a:rPr lang="en-US" sz="1100" b="0" i="0" u="none" strike="noStrike">
              <a:solidFill>
                <a:srgbClr val="000000"/>
              </a:solidFill>
              <a:latin typeface="Calibri"/>
              <a:ea typeface="Calibri"/>
              <a:cs typeface="Calibri"/>
            </a:rPr>
            <a:pPr algn="ctr"/>
            <a:t>1.42</a:t>
          </a:fld>
          <a:endParaRPr lang="en-IN" sz="1100"/>
        </a:p>
      </xdr:txBody>
    </xdr:sp>
    <xdr:clientData/>
  </xdr:twoCellAnchor>
  <xdr:twoCellAnchor>
    <xdr:from>
      <xdr:col>12</xdr:col>
      <xdr:colOff>529167</xdr:colOff>
      <xdr:row>54</xdr:row>
      <xdr:rowOff>105834</xdr:rowOff>
    </xdr:from>
    <xdr:to>
      <xdr:col>13</xdr:col>
      <xdr:colOff>677333</xdr:colOff>
      <xdr:row>56</xdr:row>
      <xdr:rowOff>105834</xdr:rowOff>
    </xdr:to>
    <xdr:sp macro="" textlink="">
      <xdr:nvSpPr>
        <xdr:cNvPr id="17" name="TextBox 16">
          <a:extLst>
            <a:ext uri="{FF2B5EF4-FFF2-40B4-BE49-F238E27FC236}">
              <a16:creationId xmlns:a16="http://schemas.microsoft.com/office/drawing/2014/main" id="{D039CA31-4C14-41D5-BC6C-299857A4205F}"/>
            </a:ext>
          </a:extLst>
        </xdr:cNvPr>
        <xdr:cNvSpPr txBox="1"/>
      </xdr:nvSpPr>
      <xdr:spPr>
        <a:xfrm>
          <a:off x="11440584" y="9821334"/>
          <a:ext cx="1735666" cy="359833"/>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t>Price of Top Coin</a:t>
          </a:r>
        </a:p>
        <a:p>
          <a:pPr algn="ctr"/>
          <a:endParaRPr lang="en-IN" sz="1100"/>
        </a:p>
      </xdr:txBody>
    </xdr:sp>
    <xdr:clientData/>
  </xdr:twoCellAnchor>
  <xdr:twoCellAnchor>
    <xdr:from>
      <xdr:col>13</xdr:col>
      <xdr:colOff>1090083</xdr:colOff>
      <xdr:row>46</xdr:row>
      <xdr:rowOff>137583</xdr:rowOff>
    </xdr:from>
    <xdr:to>
      <xdr:col>15</xdr:col>
      <xdr:colOff>550333</xdr:colOff>
      <xdr:row>52</xdr:row>
      <xdr:rowOff>158750</xdr:rowOff>
    </xdr:to>
    <xdr:sp macro="" textlink="I53">
      <xdr:nvSpPr>
        <xdr:cNvPr id="18" name="Rectangle: Rounded Corners 17">
          <a:extLst>
            <a:ext uri="{FF2B5EF4-FFF2-40B4-BE49-F238E27FC236}">
              <a16:creationId xmlns:a16="http://schemas.microsoft.com/office/drawing/2014/main" id="{79A077FD-B6DB-4107-B0D1-3DAC224FC56F}"/>
            </a:ext>
          </a:extLst>
        </xdr:cNvPr>
        <xdr:cNvSpPr/>
      </xdr:nvSpPr>
      <xdr:spPr>
        <a:xfrm>
          <a:off x="12636500" y="8413750"/>
          <a:ext cx="1778000" cy="110066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solidFill>
            <a:schemeClr val="accent6">
              <a:lumMod val="75000"/>
            </a:schemeClr>
          </a:solidFill>
        </a:ln>
        <a:effectLst>
          <a:glow rad="101600">
            <a:schemeClr val="accent6">
              <a:lumMod val="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B2AB65F-496B-4858-8821-FE22F18DFE31}" type="TxLink">
            <a:rPr lang="en-US" sz="1100" b="0" i="0" u="none" strike="noStrike">
              <a:solidFill>
                <a:srgbClr val="000000"/>
              </a:solidFill>
              <a:latin typeface="Calibri"/>
              <a:ea typeface="Calibri"/>
              <a:cs typeface="Calibri"/>
            </a:rPr>
            <a:pPr algn="ctr"/>
            <a:t>62,98,42,50,000</a:t>
          </a:fld>
          <a:endParaRPr lang="en-IN" sz="1100"/>
        </a:p>
      </xdr:txBody>
    </xdr:sp>
    <xdr:clientData/>
  </xdr:twoCellAnchor>
  <xdr:twoCellAnchor>
    <xdr:from>
      <xdr:col>13</xdr:col>
      <xdr:colOff>1100667</xdr:colOff>
      <xdr:row>46</xdr:row>
      <xdr:rowOff>148167</xdr:rowOff>
    </xdr:from>
    <xdr:to>
      <xdr:col>15</xdr:col>
      <xdr:colOff>550333</xdr:colOff>
      <xdr:row>48</xdr:row>
      <xdr:rowOff>148167</xdr:rowOff>
    </xdr:to>
    <xdr:sp macro="" textlink="">
      <xdr:nvSpPr>
        <xdr:cNvPr id="19" name="TextBox 18">
          <a:extLst>
            <a:ext uri="{FF2B5EF4-FFF2-40B4-BE49-F238E27FC236}">
              <a16:creationId xmlns:a16="http://schemas.microsoft.com/office/drawing/2014/main" id="{2E333E09-B896-42D1-9B61-2D44FFBF88C5}"/>
            </a:ext>
          </a:extLst>
        </xdr:cNvPr>
        <xdr:cNvSpPr txBox="1"/>
      </xdr:nvSpPr>
      <xdr:spPr>
        <a:xfrm>
          <a:off x="12647084" y="8424334"/>
          <a:ext cx="1767416" cy="359833"/>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t>Total circulating supply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103322</xdr:colOff>
      <xdr:row>15</xdr:row>
      <xdr:rowOff>12917</xdr:rowOff>
    </xdr:from>
    <xdr:to>
      <xdr:col>8</xdr:col>
      <xdr:colOff>204631</xdr:colOff>
      <xdr:row>27</xdr:row>
      <xdr:rowOff>71454</xdr:rowOff>
    </xdr:to>
    <xdr:graphicFrame macro="">
      <xdr:nvGraphicFramePr>
        <xdr:cNvPr id="4" name="Chart 3">
          <a:extLst>
            <a:ext uri="{FF2B5EF4-FFF2-40B4-BE49-F238E27FC236}">
              <a16:creationId xmlns:a16="http://schemas.microsoft.com/office/drawing/2014/main" id="{954C2CCA-9FDD-4A8B-8A96-4AC8EAD9F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323888</xdr:colOff>
      <xdr:row>30</xdr:row>
      <xdr:rowOff>165865</xdr:rowOff>
    </xdr:from>
    <xdr:to>
      <xdr:col>8</xdr:col>
      <xdr:colOff>284135</xdr:colOff>
      <xdr:row>44</xdr:row>
      <xdr:rowOff>25831</xdr:rowOff>
    </xdr:to>
    <xdr:graphicFrame macro="">
      <xdr:nvGraphicFramePr>
        <xdr:cNvPr id="5" name="Chart 4">
          <a:extLst>
            <a:ext uri="{FF2B5EF4-FFF2-40B4-BE49-F238E27FC236}">
              <a16:creationId xmlns:a16="http://schemas.microsoft.com/office/drawing/2014/main" id="{F08AF67B-1DAF-4C4C-88BD-3A5155A25A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490780</xdr:colOff>
      <xdr:row>31</xdr:row>
      <xdr:rowOff>66256</xdr:rowOff>
    </xdr:from>
    <xdr:to>
      <xdr:col>18</xdr:col>
      <xdr:colOff>452033</xdr:colOff>
      <xdr:row>45</xdr:row>
      <xdr:rowOff>12916</xdr:rowOff>
    </xdr:to>
    <xdr:graphicFrame macro="">
      <xdr:nvGraphicFramePr>
        <xdr:cNvPr id="6" name="Chart 5">
          <a:extLst>
            <a:ext uri="{FF2B5EF4-FFF2-40B4-BE49-F238E27FC236}">
              <a16:creationId xmlns:a16="http://schemas.microsoft.com/office/drawing/2014/main" id="{4A0EBD2A-4E49-443F-BE86-826A96D26A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561058</xdr:colOff>
      <xdr:row>14</xdr:row>
      <xdr:rowOff>136029</xdr:rowOff>
    </xdr:from>
    <xdr:to>
      <xdr:col>18</xdr:col>
      <xdr:colOff>303761</xdr:colOff>
      <xdr:row>27</xdr:row>
      <xdr:rowOff>64072</xdr:rowOff>
    </xdr:to>
    <xdr:graphicFrame macro="">
      <xdr:nvGraphicFramePr>
        <xdr:cNvPr id="7" name="Chart 6">
          <a:extLst>
            <a:ext uri="{FF2B5EF4-FFF2-40B4-BE49-F238E27FC236}">
              <a16:creationId xmlns:a16="http://schemas.microsoft.com/office/drawing/2014/main" id="{4615636A-D880-4C65-800A-CAE580CC88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10370</xdr:colOff>
      <xdr:row>7</xdr:row>
      <xdr:rowOff>34282</xdr:rowOff>
    </xdr:from>
    <xdr:to>
      <xdr:col>15</xdr:col>
      <xdr:colOff>563396</xdr:colOff>
      <xdr:row>13</xdr:row>
      <xdr:rowOff>66531</xdr:rowOff>
    </xdr:to>
    <xdr:sp macro="" textlink="Pivotcharts!I54">
      <xdr:nvSpPr>
        <xdr:cNvPr id="32" name="Rectangle: Rounded Corners 31">
          <a:extLst>
            <a:ext uri="{FF2B5EF4-FFF2-40B4-BE49-F238E27FC236}">
              <a16:creationId xmlns:a16="http://schemas.microsoft.com/office/drawing/2014/main" id="{26C3104C-961E-4D58-AE39-6034DD549E86}"/>
            </a:ext>
          </a:extLst>
        </xdr:cNvPr>
        <xdr:cNvSpPr/>
      </xdr:nvSpPr>
      <xdr:spPr>
        <a:xfrm>
          <a:off x="10600878" y="1429129"/>
          <a:ext cx="1767060" cy="111713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solidFill>
            <a:schemeClr val="accent6">
              <a:lumMod val="75000"/>
            </a:schemeClr>
          </a:solidFill>
        </a:ln>
        <a:effectLst>
          <a:glow rad="101600">
            <a:schemeClr val="accent6">
              <a:lumMod val="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C48604B-A828-4CE9-86F7-A7B7C3CA575E}" type="TxLink">
            <a:rPr lang="en-US" sz="1100" b="0" i="0" u="none" strike="noStrike">
              <a:solidFill>
                <a:srgbClr val="000000"/>
              </a:solidFill>
              <a:latin typeface="Calibri"/>
              <a:ea typeface="Calibri"/>
              <a:cs typeface="Calibri"/>
            </a:rPr>
            <a:pPr algn="ctr"/>
            <a:t>XRP</a:t>
          </a:fld>
          <a:endParaRPr lang="en-IN" sz="1100"/>
        </a:p>
      </xdr:txBody>
    </xdr:sp>
    <xdr:clientData/>
  </xdr:twoCellAnchor>
  <xdr:twoCellAnchor>
    <xdr:from>
      <xdr:col>12</xdr:col>
      <xdr:colOff>555355</xdr:colOff>
      <xdr:row>6</xdr:row>
      <xdr:rowOff>154983</xdr:rowOff>
    </xdr:from>
    <xdr:to>
      <xdr:col>15</xdr:col>
      <xdr:colOff>581187</xdr:colOff>
      <xdr:row>8</xdr:row>
      <xdr:rowOff>154983</xdr:rowOff>
    </xdr:to>
    <xdr:sp macro="" textlink="">
      <xdr:nvSpPr>
        <xdr:cNvPr id="33" name="TextBox 32">
          <a:extLst>
            <a:ext uri="{FF2B5EF4-FFF2-40B4-BE49-F238E27FC236}">
              <a16:creationId xmlns:a16="http://schemas.microsoft.com/office/drawing/2014/main" id="{7D0216A8-874B-4285-A391-3663A73EA96C}"/>
            </a:ext>
          </a:extLst>
        </xdr:cNvPr>
        <xdr:cNvSpPr txBox="1"/>
      </xdr:nvSpPr>
      <xdr:spPr>
        <a:xfrm>
          <a:off x="10538847" y="1369017"/>
          <a:ext cx="1846882" cy="361627"/>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1" baseline="0"/>
            <a:t>Highest Price Coi</a:t>
          </a:r>
          <a:r>
            <a:rPr lang="en-IN" sz="800" b="1" baseline="0"/>
            <a:t>n</a:t>
          </a:r>
        </a:p>
        <a:p>
          <a:pPr algn="ctr"/>
          <a:endParaRPr lang="en-IN" sz="1100"/>
        </a:p>
      </xdr:txBody>
    </xdr:sp>
    <xdr:clientData/>
  </xdr:twoCellAnchor>
  <xdr:twoCellAnchor>
    <xdr:from>
      <xdr:col>5</xdr:col>
      <xdr:colOff>492599</xdr:colOff>
      <xdr:row>6</xdr:row>
      <xdr:rowOff>142848</xdr:rowOff>
    </xdr:from>
    <xdr:to>
      <xdr:col>8</xdr:col>
      <xdr:colOff>555021</xdr:colOff>
      <xdr:row>12</xdr:row>
      <xdr:rowOff>175097</xdr:rowOff>
    </xdr:to>
    <xdr:sp macro="" textlink="Pivotcharts!I51">
      <xdr:nvSpPr>
        <xdr:cNvPr id="34" name="Rectangle: Rounded Corners 33">
          <a:extLst>
            <a:ext uri="{FF2B5EF4-FFF2-40B4-BE49-F238E27FC236}">
              <a16:creationId xmlns:a16="http://schemas.microsoft.com/office/drawing/2014/main" id="{6EBE2EBF-2D60-4234-9006-5C01100DC10A}"/>
            </a:ext>
          </a:extLst>
        </xdr:cNvPr>
        <xdr:cNvSpPr/>
      </xdr:nvSpPr>
      <xdr:spPr>
        <a:xfrm>
          <a:off x="3527684" y="1227729"/>
          <a:ext cx="1883473" cy="111713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solidFill>
            <a:schemeClr val="accent6">
              <a:lumMod val="75000"/>
            </a:schemeClr>
          </a:solidFill>
        </a:ln>
        <a:effectLst>
          <a:glow rad="101600">
            <a:schemeClr val="accent6">
              <a:lumMod val="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395E28E-B40A-47B9-8961-268B2BA96429}" type="TxLink">
            <a:rPr lang="en-US" sz="1100" b="0" i="0" u="none" strike="noStrike">
              <a:solidFill>
                <a:srgbClr val="000000"/>
              </a:solidFill>
              <a:latin typeface="Calibri"/>
              <a:ea typeface="Calibri"/>
              <a:cs typeface="Calibri"/>
            </a:rPr>
            <a:pPr algn="ctr"/>
            <a:t>6.23</a:t>
          </a:fld>
          <a:endParaRPr lang="en-US" sz="1100"/>
        </a:p>
      </xdr:txBody>
    </xdr:sp>
    <xdr:clientData/>
  </xdr:twoCellAnchor>
  <xdr:twoCellAnchor>
    <xdr:from>
      <xdr:col>5</xdr:col>
      <xdr:colOff>512417</xdr:colOff>
      <xdr:row>6</xdr:row>
      <xdr:rowOff>151787</xdr:rowOff>
    </xdr:from>
    <xdr:to>
      <xdr:col>8</xdr:col>
      <xdr:colOff>552001</xdr:colOff>
      <xdr:row>9</xdr:row>
      <xdr:rowOff>17060</xdr:rowOff>
    </xdr:to>
    <xdr:sp macro="" textlink="">
      <xdr:nvSpPr>
        <xdr:cNvPr id="35" name="TextBox 34">
          <a:extLst>
            <a:ext uri="{FF2B5EF4-FFF2-40B4-BE49-F238E27FC236}">
              <a16:creationId xmlns:a16="http://schemas.microsoft.com/office/drawing/2014/main" id="{880ADB01-527A-4BEA-B627-812E72A0F565}"/>
            </a:ext>
          </a:extLst>
        </xdr:cNvPr>
        <xdr:cNvSpPr txBox="1"/>
      </xdr:nvSpPr>
      <xdr:spPr>
        <a:xfrm>
          <a:off x="3547502" y="1236668"/>
          <a:ext cx="1860635" cy="407714"/>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t>Total price of coins</a:t>
          </a:r>
        </a:p>
        <a:p>
          <a:pPr algn="ctr"/>
          <a:endParaRPr lang="en-IN" sz="1100"/>
        </a:p>
      </xdr:txBody>
    </xdr:sp>
    <xdr:clientData/>
  </xdr:twoCellAnchor>
  <xdr:twoCellAnchor>
    <xdr:from>
      <xdr:col>15</xdr:col>
      <xdr:colOff>852569</xdr:colOff>
      <xdr:row>6</xdr:row>
      <xdr:rowOff>130037</xdr:rowOff>
    </xdr:from>
    <xdr:to>
      <xdr:col>18</xdr:col>
      <xdr:colOff>90408</xdr:colOff>
      <xdr:row>12</xdr:row>
      <xdr:rowOff>162286</xdr:rowOff>
    </xdr:to>
    <xdr:sp macro="" textlink="Pivotcharts!I56">
      <xdr:nvSpPr>
        <xdr:cNvPr id="36" name="Rectangle: Rounded Corners 35">
          <a:extLst>
            <a:ext uri="{FF2B5EF4-FFF2-40B4-BE49-F238E27FC236}">
              <a16:creationId xmlns:a16="http://schemas.microsoft.com/office/drawing/2014/main" id="{0F7A1099-61F8-4647-94EE-CFCB5C1B54A8}"/>
            </a:ext>
          </a:extLst>
        </xdr:cNvPr>
        <xdr:cNvSpPr/>
      </xdr:nvSpPr>
      <xdr:spPr>
        <a:xfrm>
          <a:off x="11275179" y="1214918"/>
          <a:ext cx="1962958" cy="111713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solidFill>
            <a:schemeClr val="accent6">
              <a:lumMod val="75000"/>
            </a:schemeClr>
          </a:solidFill>
        </a:ln>
        <a:effectLst>
          <a:glow rad="101600">
            <a:schemeClr val="accent6">
              <a:lumMod val="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FD19AF0-47DC-438D-901A-5D6CA493E1AE}" type="TxLink">
            <a:rPr lang="en-US" sz="1100" b="0" i="0" u="none" strike="noStrike">
              <a:solidFill>
                <a:srgbClr val="000000"/>
              </a:solidFill>
              <a:latin typeface="Calibri"/>
              <a:ea typeface="Calibri"/>
              <a:cs typeface="Calibri"/>
            </a:rPr>
            <a:pPr algn="ctr"/>
            <a:t>1.42</a:t>
          </a:fld>
          <a:endParaRPr lang="en-IN" sz="1100"/>
        </a:p>
      </xdr:txBody>
    </xdr:sp>
    <xdr:clientData/>
  </xdr:twoCellAnchor>
  <xdr:twoCellAnchor>
    <xdr:from>
      <xdr:col>15</xdr:col>
      <xdr:colOff>852407</xdr:colOff>
      <xdr:row>6</xdr:row>
      <xdr:rowOff>103323</xdr:rowOff>
    </xdr:from>
    <xdr:to>
      <xdr:col>18</xdr:col>
      <xdr:colOff>90407</xdr:colOff>
      <xdr:row>8</xdr:row>
      <xdr:rowOff>154984</xdr:rowOff>
    </xdr:to>
    <xdr:sp macro="" textlink="">
      <xdr:nvSpPr>
        <xdr:cNvPr id="37" name="TextBox 36">
          <a:extLst>
            <a:ext uri="{FF2B5EF4-FFF2-40B4-BE49-F238E27FC236}">
              <a16:creationId xmlns:a16="http://schemas.microsoft.com/office/drawing/2014/main" id="{E0A20AA3-7A4F-4A5F-874B-87F8435BA1FB}"/>
            </a:ext>
          </a:extLst>
        </xdr:cNvPr>
        <xdr:cNvSpPr txBox="1"/>
      </xdr:nvSpPr>
      <xdr:spPr>
        <a:xfrm>
          <a:off x="11275017" y="1188204"/>
          <a:ext cx="1963119" cy="413288"/>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t>Price of Top Coin</a:t>
          </a:r>
        </a:p>
        <a:p>
          <a:pPr algn="ctr"/>
          <a:endParaRPr lang="en-IN" sz="1100"/>
        </a:p>
      </xdr:txBody>
    </xdr:sp>
    <xdr:clientData/>
  </xdr:twoCellAnchor>
  <xdr:twoCellAnchor>
    <xdr:from>
      <xdr:col>9</xdr:col>
      <xdr:colOff>372800</xdr:colOff>
      <xdr:row>6</xdr:row>
      <xdr:rowOff>148885</xdr:rowOff>
    </xdr:from>
    <xdr:to>
      <xdr:col>11</xdr:col>
      <xdr:colOff>579844</xdr:colOff>
      <xdr:row>13</xdr:row>
      <xdr:rowOff>321</xdr:rowOff>
    </xdr:to>
    <xdr:sp macro="" textlink="Pivotcharts!I53">
      <xdr:nvSpPr>
        <xdr:cNvPr id="38" name="Rectangle: Rounded Corners 37">
          <a:extLst>
            <a:ext uri="{FF2B5EF4-FFF2-40B4-BE49-F238E27FC236}">
              <a16:creationId xmlns:a16="http://schemas.microsoft.com/office/drawing/2014/main" id="{D525AF86-9801-4EBB-9722-D9B7D54D4815}"/>
            </a:ext>
          </a:extLst>
        </xdr:cNvPr>
        <xdr:cNvSpPr/>
      </xdr:nvSpPr>
      <xdr:spPr>
        <a:xfrm>
          <a:off x="5835953" y="1233766"/>
          <a:ext cx="2738433" cy="111713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solidFill>
            <a:schemeClr val="accent6">
              <a:lumMod val="75000"/>
            </a:schemeClr>
          </a:solidFill>
        </a:ln>
        <a:effectLst>
          <a:glow rad="101600">
            <a:schemeClr val="accent6">
              <a:lumMod val="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6E18D1D-E561-43B2-8226-DA00686307B5}" type="TxLink">
            <a:rPr lang="en-US" sz="1100" b="0" i="0" u="none" strike="noStrike">
              <a:solidFill>
                <a:srgbClr val="000000"/>
              </a:solidFill>
              <a:latin typeface="Calibri"/>
              <a:ea typeface="Calibri"/>
              <a:cs typeface="Calibri"/>
            </a:rPr>
            <a:pPr algn="ctr"/>
            <a:t>62,98,42,50,000</a:t>
          </a:fld>
          <a:endParaRPr lang="en-IN" sz="1100"/>
        </a:p>
      </xdr:txBody>
    </xdr:sp>
    <xdr:clientData/>
  </xdr:twoCellAnchor>
  <xdr:twoCellAnchor>
    <xdr:from>
      <xdr:col>9</xdr:col>
      <xdr:colOff>390644</xdr:colOff>
      <xdr:row>6</xdr:row>
      <xdr:rowOff>154984</xdr:rowOff>
    </xdr:from>
    <xdr:to>
      <xdr:col>11</xdr:col>
      <xdr:colOff>568272</xdr:colOff>
      <xdr:row>9</xdr:row>
      <xdr:rowOff>14555</xdr:rowOff>
    </xdr:to>
    <xdr:sp macro="" textlink="">
      <xdr:nvSpPr>
        <xdr:cNvPr id="39" name="TextBox 38">
          <a:extLst>
            <a:ext uri="{FF2B5EF4-FFF2-40B4-BE49-F238E27FC236}">
              <a16:creationId xmlns:a16="http://schemas.microsoft.com/office/drawing/2014/main" id="{15A60167-DA04-4F3A-989F-09114C8BBEF9}"/>
            </a:ext>
          </a:extLst>
        </xdr:cNvPr>
        <xdr:cNvSpPr txBox="1"/>
      </xdr:nvSpPr>
      <xdr:spPr>
        <a:xfrm>
          <a:off x="5853797" y="1239865"/>
          <a:ext cx="2709017" cy="402012"/>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t>Total circulating supply</a:t>
          </a:r>
        </a:p>
      </xdr:txBody>
    </xdr:sp>
    <xdr:clientData/>
  </xdr:twoCellAnchor>
  <xdr:twoCellAnchor>
    <xdr:from>
      <xdr:col>2</xdr:col>
      <xdr:colOff>348544</xdr:colOff>
      <xdr:row>7</xdr:row>
      <xdr:rowOff>10734</xdr:rowOff>
    </xdr:from>
    <xdr:to>
      <xdr:col>5</xdr:col>
      <xdr:colOff>288013</xdr:colOff>
      <xdr:row>13</xdr:row>
      <xdr:rowOff>42985</xdr:rowOff>
    </xdr:to>
    <xdr:sp macro="" textlink="Pivotcharts!I49">
      <xdr:nvSpPr>
        <xdr:cNvPr id="40" name="Rectangle: Rounded Corners 39">
          <a:extLst>
            <a:ext uri="{FF2B5EF4-FFF2-40B4-BE49-F238E27FC236}">
              <a16:creationId xmlns:a16="http://schemas.microsoft.com/office/drawing/2014/main" id="{948F515C-01C4-4E80-8131-8D5CC23CF57B}"/>
            </a:ext>
          </a:extLst>
        </xdr:cNvPr>
        <xdr:cNvSpPr/>
      </xdr:nvSpPr>
      <xdr:spPr>
        <a:xfrm>
          <a:off x="1562578" y="1276429"/>
          <a:ext cx="1760520" cy="1117132"/>
        </a:xfrm>
        <a:prstGeom prst="roundRect">
          <a:avLst/>
        </a:prstGeom>
        <a:gradFill flip="none" rotWithShape="1">
          <a:gsLst>
            <a:gs pos="50000">
              <a:schemeClr val="accent1">
                <a:tint val="66000"/>
                <a:satMod val="160000"/>
              </a:schemeClr>
            </a:gs>
            <a:gs pos="0">
              <a:schemeClr val="accent1">
                <a:tint val="44500"/>
                <a:satMod val="160000"/>
              </a:schemeClr>
            </a:gs>
            <a:gs pos="100000">
              <a:schemeClr val="accent1">
                <a:tint val="23500"/>
                <a:satMod val="160000"/>
              </a:schemeClr>
            </a:gs>
          </a:gsLst>
          <a:path path="circle">
            <a:fillToRect l="50000" t="50000" r="50000" b="50000"/>
          </a:path>
          <a:tileRect/>
        </a:gradFill>
        <a:ln>
          <a:solidFill>
            <a:schemeClr val="accent6">
              <a:lumMod val="75000"/>
            </a:schemeClr>
          </a:solidFill>
        </a:ln>
        <a:effectLst>
          <a:glow rad="101600">
            <a:schemeClr val="accent6">
              <a:lumMod val="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9C4916F-3943-49DD-80CD-3F60E2CFFE7E}" type="TxLink">
            <a:rPr lang="en-US" sz="1100" b="0" i="0" u="none" strike="noStrike">
              <a:solidFill>
                <a:srgbClr val="000000"/>
              </a:solidFill>
              <a:latin typeface="Calibri"/>
              <a:ea typeface="Calibri"/>
              <a:cs typeface="Calibri"/>
            </a:rPr>
            <a:pPr algn="ctr"/>
            <a:t>89,57,99,40,000</a:t>
          </a:fld>
          <a:endParaRPr lang="en-US" sz="1100"/>
        </a:p>
      </xdr:txBody>
    </xdr:sp>
    <xdr:clientData/>
  </xdr:twoCellAnchor>
  <xdr:twoCellAnchor>
    <xdr:from>
      <xdr:col>2</xdr:col>
      <xdr:colOff>369024</xdr:colOff>
      <xdr:row>7</xdr:row>
      <xdr:rowOff>18298</xdr:rowOff>
    </xdr:from>
    <xdr:to>
      <xdr:col>5</xdr:col>
      <xdr:colOff>276743</xdr:colOff>
      <xdr:row>9</xdr:row>
      <xdr:rowOff>21993</xdr:rowOff>
    </xdr:to>
    <xdr:sp macro="" textlink="">
      <xdr:nvSpPr>
        <xdr:cNvPr id="41" name="TextBox 40">
          <a:extLst>
            <a:ext uri="{FF2B5EF4-FFF2-40B4-BE49-F238E27FC236}">
              <a16:creationId xmlns:a16="http://schemas.microsoft.com/office/drawing/2014/main" id="{DD2496D9-14BE-4AA9-BFD5-41F2B15353D3}"/>
            </a:ext>
          </a:extLst>
        </xdr:cNvPr>
        <xdr:cNvSpPr txBox="1"/>
      </xdr:nvSpPr>
      <xdr:spPr>
        <a:xfrm>
          <a:off x="1583058" y="1283993"/>
          <a:ext cx="1728770" cy="365322"/>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t>sum</a:t>
          </a:r>
          <a:r>
            <a:rPr lang="en-IN" sz="1100" b="1" baseline="0"/>
            <a:t> of </a:t>
          </a:r>
          <a:r>
            <a:rPr lang="en-IN" sz="900" b="1" baseline="0"/>
            <a:t>market capital</a:t>
          </a:r>
          <a:endParaRPr lang="en-IN" sz="1100" b="1" baseline="0"/>
        </a:p>
        <a:p>
          <a:pPr algn="ctr"/>
          <a:endParaRPr lang="en-IN" sz="1100"/>
        </a:p>
      </xdr:txBody>
    </xdr:sp>
    <xdr:clientData/>
  </xdr:twoCellAnchor>
  <xdr:twoCellAnchor editAs="oneCell">
    <xdr:from>
      <xdr:col>9</xdr:col>
      <xdr:colOff>635699</xdr:colOff>
      <xdr:row>15</xdr:row>
      <xdr:rowOff>83867</xdr:rowOff>
    </xdr:from>
    <xdr:to>
      <xdr:col>10</xdr:col>
      <xdr:colOff>230127</xdr:colOff>
      <xdr:row>27</xdr:row>
      <xdr:rowOff>14593</xdr:rowOff>
    </xdr:to>
    <mc:AlternateContent xmlns:mc="http://schemas.openxmlformats.org/markup-compatibility/2006" xmlns:a14="http://schemas.microsoft.com/office/drawing/2010/main">
      <mc:Choice Requires="a14">
        <xdr:graphicFrame macro="">
          <xdr:nvGraphicFramePr>
            <xdr:cNvPr id="42" name="Price Range 1">
              <a:extLst>
                <a:ext uri="{FF2B5EF4-FFF2-40B4-BE49-F238E27FC236}">
                  <a16:creationId xmlns:a16="http://schemas.microsoft.com/office/drawing/2014/main" id="{52849AEF-5E91-4BA3-B22C-09F4C45D758B}"/>
                </a:ext>
              </a:extLst>
            </xdr:cNvPr>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mlns="">
        <xdr:sp macro="" textlink="">
          <xdr:nvSpPr>
            <xdr:cNvPr id="0" name=""/>
            <xdr:cNvSpPr>
              <a:spLocks noTextEdit="1"/>
            </xdr:cNvSpPr>
          </xdr:nvSpPr>
          <xdr:spPr>
            <a:xfrm>
              <a:off x="6098852" y="2925223"/>
              <a:ext cx="1867512" cy="21004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51661</xdr:colOff>
      <xdr:row>3</xdr:row>
      <xdr:rowOff>25830</xdr:rowOff>
    </xdr:from>
    <xdr:to>
      <xdr:col>17</xdr:col>
      <xdr:colOff>594102</xdr:colOff>
      <xdr:row>5</xdr:row>
      <xdr:rowOff>90407</xdr:rowOff>
    </xdr:to>
    <xdr:sp macro="" textlink="">
      <xdr:nvSpPr>
        <xdr:cNvPr id="43" name="TextBox 42">
          <a:extLst>
            <a:ext uri="{FF2B5EF4-FFF2-40B4-BE49-F238E27FC236}">
              <a16:creationId xmlns:a16="http://schemas.microsoft.com/office/drawing/2014/main" id="{44A21965-E76F-1AA0-9B7E-E1947636B729}"/>
            </a:ext>
          </a:extLst>
        </xdr:cNvPr>
        <xdr:cNvSpPr txBox="1"/>
      </xdr:nvSpPr>
      <xdr:spPr>
        <a:xfrm>
          <a:off x="1872712" y="568271"/>
          <a:ext cx="11262102" cy="426204"/>
        </a:xfrm>
        <a:prstGeom prst="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a:latin typeface="Times New Roman" panose="02020603050405020304" pitchFamily="18" charset="0"/>
              <a:cs typeface="Times New Roman" panose="02020603050405020304" pitchFamily="18" charset="0"/>
            </a:rPr>
            <a:t>Crypto</a:t>
          </a:r>
          <a:r>
            <a:rPr lang="en-IN" sz="2400" baseline="0">
              <a:latin typeface="Times New Roman" panose="02020603050405020304" pitchFamily="18" charset="0"/>
              <a:cs typeface="Times New Roman" panose="02020603050405020304" pitchFamily="18" charset="0"/>
            </a:rPr>
            <a:t> Analysis dashboard</a:t>
          </a:r>
          <a:endParaRPr lang="en-IN" sz="2400">
            <a:latin typeface="Times New Roman" panose="02020603050405020304" pitchFamily="18" charset="0"/>
            <a:cs typeface="Times New Roman" panose="02020603050405020304" pitchFamily="18" charset="0"/>
          </a:endParaRPr>
        </a:p>
      </xdr:txBody>
    </xdr:sp>
    <xdr:clientData/>
  </xdr:twoCellAnchor>
  <xdr:twoCellAnchor>
    <xdr:from>
      <xdr:col>2</xdr:col>
      <xdr:colOff>245390</xdr:colOff>
      <xdr:row>46</xdr:row>
      <xdr:rowOff>77492</xdr:rowOff>
    </xdr:from>
    <xdr:to>
      <xdr:col>8</xdr:col>
      <xdr:colOff>581186</xdr:colOff>
      <xdr:row>61</xdr:row>
      <xdr:rowOff>108488</xdr:rowOff>
    </xdr:to>
    <xdr:graphicFrame macro="">
      <xdr:nvGraphicFramePr>
        <xdr:cNvPr id="2" name="CryptoVolumeChart" hidden="1">
          <a:extLst>
            <a:ext uri="{FF2B5EF4-FFF2-40B4-BE49-F238E27FC236}">
              <a16:creationId xmlns:a16="http://schemas.microsoft.com/office/drawing/2014/main" id="{EBB96298-192F-4F8B-8178-8AA1435B92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142068</xdr:colOff>
      <xdr:row>64</xdr:row>
      <xdr:rowOff>116238</xdr:rowOff>
    </xdr:from>
    <xdr:to>
      <xdr:col>8</xdr:col>
      <xdr:colOff>581186</xdr:colOff>
      <xdr:row>67</xdr:row>
      <xdr:rowOff>116237</xdr:rowOff>
    </xdr:to>
    <xdr:sp macro="" textlink="">
      <xdr:nvSpPr>
        <xdr:cNvPr id="3" name="WorkingHourMessage">
          <a:extLst>
            <a:ext uri="{FF2B5EF4-FFF2-40B4-BE49-F238E27FC236}">
              <a16:creationId xmlns:a16="http://schemas.microsoft.com/office/drawing/2014/main" id="{25087A1A-6876-8FB8-F27F-7054F3149DF0}"/>
            </a:ext>
          </a:extLst>
        </xdr:cNvPr>
        <xdr:cNvSpPr txBox="1"/>
      </xdr:nvSpPr>
      <xdr:spPr>
        <a:xfrm>
          <a:off x="1356102" y="11869119"/>
          <a:ext cx="4081220" cy="542440"/>
        </a:xfrm>
        <a:prstGeom prst="rect">
          <a:avLst/>
        </a:prstGeom>
        <a:gradFill>
          <a:gsLst>
            <a:gs pos="0">
              <a:schemeClr val="accent1">
                <a:lumMod val="5000"/>
                <a:lumOff val="95000"/>
              </a:schemeClr>
            </a:gs>
            <a:gs pos="3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a:effectLst>
          <a:glow rad="139700">
            <a:schemeClr val="accent2">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a:t>Please open in working hours (9 am to 5 pm).</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228600</xdr:colOff>
      <xdr:row>0</xdr:row>
      <xdr:rowOff>83821</xdr:rowOff>
    </xdr:from>
    <xdr:to>
      <xdr:col>4</xdr:col>
      <xdr:colOff>472440</xdr:colOff>
      <xdr:row>8</xdr:row>
      <xdr:rowOff>152400</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F1F7D0FB-E0A9-7773-DED2-C358DDC673B9}"/>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4648200" y="83821"/>
              <a:ext cx="1463040" cy="15316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91440</xdr:colOff>
      <xdr:row>0</xdr:row>
      <xdr:rowOff>64770</xdr:rowOff>
    </xdr:from>
    <xdr:to>
      <xdr:col>12</xdr:col>
      <xdr:colOff>381000</xdr:colOff>
      <xdr:row>22</xdr:row>
      <xdr:rowOff>114300</xdr:rowOff>
    </xdr:to>
    <xdr:graphicFrame macro="">
      <xdr:nvGraphicFramePr>
        <xdr:cNvPr id="4" name="Chart 3">
          <a:extLst>
            <a:ext uri="{FF2B5EF4-FFF2-40B4-BE49-F238E27FC236}">
              <a16:creationId xmlns:a16="http://schemas.microsoft.com/office/drawing/2014/main" id="{48F95B82-E92D-890C-E994-A61D840493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229447</xdr:colOff>
      <xdr:row>0</xdr:row>
      <xdr:rowOff>0</xdr:rowOff>
    </xdr:from>
    <xdr:to>
      <xdr:col>13</xdr:col>
      <xdr:colOff>198967</xdr:colOff>
      <xdr:row>17</xdr:row>
      <xdr:rowOff>22860</xdr:rowOff>
    </xdr:to>
    <xdr:graphicFrame macro="">
      <xdr:nvGraphicFramePr>
        <xdr:cNvPr id="3" name="Chart 2">
          <a:extLst>
            <a:ext uri="{FF2B5EF4-FFF2-40B4-BE49-F238E27FC236}">
              <a16:creationId xmlns:a16="http://schemas.microsoft.com/office/drawing/2014/main" id="{30C8AD3B-923F-7EE6-7E47-C26C0298CF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279037</xdr:colOff>
      <xdr:row>0</xdr:row>
      <xdr:rowOff>33141</xdr:rowOff>
    </xdr:from>
    <xdr:to>
      <xdr:col>16</xdr:col>
      <xdr:colOff>279037</xdr:colOff>
      <xdr:row>13</xdr:row>
      <xdr:rowOff>121224</xdr:rowOff>
    </xdr:to>
    <mc:AlternateContent xmlns:mc="http://schemas.openxmlformats.org/markup-compatibility/2006" xmlns:a14="http://schemas.microsoft.com/office/drawing/2010/main">
      <mc:Choice Requires="a14">
        <xdr:graphicFrame macro="">
          <xdr:nvGraphicFramePr>
            <xdr:cNvPr id="4" name="Price Filter">
              <a:extLst>
                <a:ext uri="{FF2B5EF4-FFF2-40B4-BE49-F238E27FC236}">
                  <a16:creationId xmlns:a16="http://schemas.microsoft.com/office/drawing/2014/main" id="{47BB6F21-A0C8-A959-5582-06A95A9B41E1}"/>
                </a:ext>
              </a:extLst>
            </xdr:cNvPr>
            <xdr:cNvGraphicFramePr/>
          </xdr:nvGraphicFramePr>
          <xdr:xfrm>
            <a:off x="0" y="0"/>
            <a:ext cx="0" cy="0"/>
          </xdr:xfrm>
          <a:graphic>
            <a:graphicData uri="http://schemas.microsoft.com/office/drawing/2010/slicer">
              <sle:slicer xmlns:sle="http://schemas.microsoft.com/office/drawing/2010/slicer" name="Price Filter"/>
            </a:graphicData>
          </a:graphic>
        </xdr:graphicFrame>
      </mc:Choice>
      <mc:Fallback xmlns="">
        <xdr:sp macro="" textlink="">
          <xdr:nvSpPr>
            <xdr:cNvPr id="0" name=""/>
            <xdr:cNvSpPr>
              <a:spLocks noTextEdit="1"/>
            </xdr:cNvSpPr>
          </xdr:nvSpPr>
          <xdr:spPr>
            <a:xfrm>
              <a:off x="10642237" y="33141"/>
              <a:ext cx="1828800" cy="2509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83820</xdr:colOff>
      <xdr:row>0</xdr:row>
      <xdr:rowOff>7620</xdr:rowOff>
    </xdr:from>
    <xdr:to>
      <xdr:col>11</xdr:col>
      <xdr:colOff>388620</xdr:colOff>
      <xdr:row>18</xdr:row>
      <xdr:rowOff>133350</xdr:rowOff>
    </xdr:to>
    <xdr:graphicFrame macro="">
      <xdr:nvGraphicFramePr>
        <xdr:cNvPr id="2" name="Chart 1">
          <a:extLst>
            <a:ext uri="{FF2B5EF4-FFF2-40B4-BE49-F238E27FC236}">
              <a16:creationId xmlns:a16="http://schemas.microsoft.com/office/drawing/2014/main" id="{5B37E63C-6A68-89C3-5998-EC8ECE538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1127760</xdr:colOff>
      <xdr:row>5</xdr:row>
      <xdr:rowOff>15240</xdr:rowOff>
    </xdr:from>
    <xdr:to>
      <xdr:col>4</xdr:col>
      <xdr:colOff>1821180</xdr:colOff>
      <xdr:row>18</xdr:row>
      <xdr:rowOff>59055</xdr:rowOff>
    </xdr:to>
    <mc:AlternateContent xmlns:mc="http://schemas.openxmlformats.org/markup-compatibility/2006" xmlns:a14="http://schemas.microsoft.com/office/drawing/2010/main">
      <mc:Choice Requires="a14">
        <xdr:graphicFrame macro="">
          <xdr:nvGraphicFramePr>
            <xdr:cNvPr id="2" name="Price Group">
              <a:extLst>
                <a:ext uri="{FF2B5EF4-FFF2-40B4-BE49-F238E27FC236}">
                  <a16:creationId xmlns:a16="http://schemas.microsoft.com/office/drawing/2014/main" id="{062F731E-0E0F-6AD5-28B6-349156CF5014}"/>
                </a:ext>
              </a:extLst>
            </xdr:cNvPr>
            <xdr:cNvGraphicFramePr/>
          </xdr:nvGraphicFramePr>
          <xdr:xfrm>
            <a:off x="0" y="0"/>
            <a:ext cx="0" cy="0"/>
          </xdr:xfrm>
          <a:graphic>
            <a:graphicData uri="http://schemas.microsoft.com/office/drawing/2010/slicer">
              <sle:slicer xmlns:sle="http://schemas.microsoft.com/office/drawing/2010/slicer" name="Price Group"/>
            </a:graphicData>
          </a:graphic>
        </xdr:graphicFrame>
      </mc:Choice>
      <mc:Fallback xmlns="">
        <xdr:sp macro="" textlink="">
          <xdr:nvSpPr>
            <xdr:cNvPr id="0" name=""/>
            <xdr:cNvSpPr>
              <a:spLocks noTextEdit="1"/>
            </xdr:cNvSpPr>
          </xdr:nvSpPr>
          <xdr:spPr>
            <a:xfrm>
              <a:off x="4838700" y="9296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NEHITHA GONGATI" refreshedDate="46181.965333217595" createdVersion="8" refreshedVersion="8" minRefreshableVersion="3" recordCount="198" xr:uid="{61BD20A5-C457-4332-B3E1-BCB0925A6543}">
  <cacheSource type="worksheet">
    <worksheetSource name="Cleaned_data"/>
  </cacheSource>
  <cacheFields count="23">
    <cacheField name="Coin Name" numFmtId="0">
      <sharedItems count="198">
        <s v="CoinMarketCap 20 Index DTF"/>
        <s v="Bitcoin"/>
        <s v="Ethereum"/>
        <s v="Tether"/>
        <s v="XRP"/>
        <s v="BNB"/>
        <s v="USDC"/>
        <s v="Solana"/>
        <s v="TRON"/>
        <s v="Dogecoin"/>
        <s v="Celestia"/>
        <s v="First Digital USD"/>
        <s v="Sun [New]"/>
        <s v="Curve DAO Token"/>
        <s v="币安人生"/>
        <s v="ether.fi"/>
        <s v="Immutable"/>
        <s v="DoubleZero"/>
        <s v="BUILDon"/>
        <s v="Gnosis"/>
        <s v="Rain"/>
        <s v="HTX"/>
        <s v="Falcon USD"/>
        <s v="LAB"/>
        <s v="Ondo US Dollar Yield"/>
        <s v="c8ntinuum"/>
        <s v="Jupiter Perps LP"/>
        <s v="Beldex"/>
        <s v="GHO"/>
        <s v="Usual USD"/>
        <s v="Toshi"/>
        <s v="Astar"/>
        <s v="XPR Network"/>
        <s v="GMX"/>
        <s v="Nervos Network"/>
        <s v="Tria"/>
        <s v="MYX Finance"/>
        <s v="Fogo"/>
        <s v="Amp"/>
        <s v="Targon"/>
        <s v="OpenGradient"/>
        <s v="Succinct"/>
        <s v="Mask Network"/>
        <s v="Coinbase tokenized stock (xStock)"/>
        <s v="XYO"/>
        <s v="World Mobile Token"/>
        <s v="Marvell tokenized stock (xStock)"/>
        <s v="ssv.network"/>
        <s v="Micron Technology Tokenized Stock (Ondo)"/>
        <s v="Pythia"/>
        <s v="Dogelon Mars"/>
        <s v="Memecoin"/>
        <s v="Powerledger"/>
        <s v="Espresso"/>
        <s v="CARV"/>
        <s v="Hyperlane"/>
        <s v="wojak (wojakcto.com)"/>
        <s v="Orbs"/>
        <s v="GMT"/>
        <s v="IOST"/>
        <s v="Spell Token"/>
        <s v="Klickl Token"/>
        <s v="KRAQ Tokenised Stock (xStock)"/>
        <s v="Orbler"/>
        <s v="Autonomi"/>
        <s v="Xertra"/>
        <s v="Chintai"/>
        <s v="iShares Silver Trust Tokenized ETF (Ondo)"/>
        <s v="Rujira"/>
        <s v="Particle Network"/>
        <s v="zkPass"/>
        <s v="Collect on Fanable"/>
        <s v="Orochi Network"/>
        <s v="SuperWalk"/>
        <s v="Boundless"/>
        <s v="OLAXBT"/>
        <s v="Anoma"/>
        <s v="QuarkChain"/>
        <s v="Celer Network"/>
        <s v="sUSD"/>
        <s v="Apertum"/>
        <s v="Paris Saint-Germain Fan Token"/>
        <s v="Bluwhale"/>
        <s v="Newton Protocol"/>
        <s v="Power Protocol"/>
        <s v="Forest Protocol"/>
        <s v="HeyElsa"/>
        <s v="Fulcrom Finance"/>
        <s v="Lumia"/>
        <s v="Vine Coin"/>
        <s v="Pepecoin"/>
        <s v="Fusionist"/>
        <s v="Honeywell tokenized stock (xStock)"/>
        <s v="Recall"/>
        <s v="AbbVie tokenized stock (xStock)"/>
        <s v="Hunt Town"/>
        <s v="Bless"/>
        <s v="Metaplex"/>
        <s v="Boba Network"/>
        <s v="MWX Token"/>
        <s v="Balancer"/>
        <s v="Apu Apustaja"/>
        <s v="Energy Web Token"/>
        <s v="Oracle Tokenized Stock (Ondo)"/>
        <s v="Abbott tokenized stock (xStock)"/>
        <s v="Forta"/>
        <s v="Alpine F1 Team Fan Token"/>
        <s v="Galatasaray Fan Token"/>
        <s v="Ika"/>
        <s v="Wecan Group"/>
        <s v="OVERTAKE"/>
        <s v="Hydranet"/>
        <s v="Green Satoshi Token (SOL)"/>
        <s v="PumpBTC (Governance token)"/>
        <s v="Fartboy"/>
        <s v="Cratos"/>
        <s v="Build On BNB"/>
        <s v="Heima"/>
        <s v="Occidental Petroleum Tokenized Stock (Ondo)"/>
        <s v="Purple Pepe"/>
        <s v="Contentos"/>
        <s v="Creta World"/>
        <s v="Propchain"/>
        <s v="Solana Name Service"/>
        <s v="MonaCoin"/>
        <s v="KAN"/>
        <s v="CateCoin"/>
        <s v="Manyu (manyushiba.com)"/>
        <s v="Planet IX(formerly IX token)"/>
        <s v="Not Pixel"/>
        <s v="401jK"/>
        <s v="MileVerse"/>
        <s v="Unibright"/>
        <s v="StrikeBit AI"/>
        <s v="Sentio"/>
        <s v="XBorg"/>
        <s v="DeLorean"/>
        <s v="ProShares UltraPro QQQ Tokenized Stock (Ondo)"/>
        <s v="PIBBLE"/>
        <s v="Fei USD"/>
        <s v="Myro"/>
        <s v="Arowana"/>
        <s v="Alibaba Tokenized Stock (Ondo)"/>
        <s v="Beam"/>
        <s v="zkVerify"/>
        <s v="DRX Token"/>
        <s v="Xterio"/>
        <s v="Nine Chronicles"/>
        <s v="CEEK VR"/>
        <s v="SLIMEX"/>
        <s v="DAOBase"/>
        <s v="MANEKI"/>
        <s v="Chevron Tokenized Stock (Ondo)"/>
        <s v="Reef"/>
        <s v="NUMINE"/>
        <s v="Devve"/>
        <s v="Foxsy AI"/>
        <s v="League of Traders"/>
        <s v="Altcoinist"/>
        <s v="Symbiosis"/>
        <s v="Netflix tokenized stock (xStock)"/>
        <s v="SHPING"/>
        <s v="Hathor"/>
        <s v="MILC Platform"/>
        <s v="Pirate Nation"/>
        <s v="TaleX"/>
        <s v="Reservoir"/>
        <s v="Project WITH"/>
        <s v="Games for a Living"/>
        <s v="NuNet"/>
        <s v="Pipe Network"/>
        <s v="Kori The Pom"/>
        <s v="Azit"/>
        <s v="Fluence"/>
        <s v="Neutron"/>
        <s v="NetMind Token"/>
        <s v="Pepes Dog"/>
        <s v="Storm Trade"/>
        <s v="Pepe Unchained (New)"/>
        <s v="LATOKEN"/>
        <s v="Samoyedcoin"/>
        <s v="DerivaDAO"/>
        <s v="Gracy"/>
        <s v="Pwease"/>
        <s v="Graphlinq Chain"/>
        <s v="Best Wallet"/>
        <s v="XDAG"/>
        <s v="Persistence One"/>
        <s v="Rocket Lab Tokenized Stock (Ondo)"/>
        <s v="UniBot"/>
        <s v="ShareToken"/>
        <s v="ICHI"/>
        <s v="Goldman Sachs Tokenized Stock (Ondo)"/>
        <s v="Abbott Tokenized Stock (Ondo)"/>
        <s v="Bitboard"/>
        <s v="Reality Metaverse"/>
        <s v="Vexanium"/>
        <s v="Clore.ai"/>
      </sharedItems>
    </cacheField>
    <cacheField name="Symbol" numFmtId="0">
      <sharedItems count="208">
        <s v="CMC20"/>
        <s v="BTC"/>
        <s v="ETH"/>
        <s v="USDT"/>
        <s v="XRP"/>
        <s v="BNB"/>
        <s v="USDC"/>
        <s v="SOL"/>
        <s v="TRX"/>
        <s v="DOGE"/>
        <s v="TIA"/>
        <s v="FDUSD"/>
        <s v="SUN"/>
        <s v="CRV"/>
        <s v="币安人生"/>
        <s v="ETHFI"/>
        <s v="IMX"/>
        <s v="2Z"/>
        <s v="B"/>
        <s v="GNO"/>
        <s v="RAIN"/>
        <s v="HTX"/>
        <s v="USDf"/>
        <s v="LAB"/>
        <s v="USDY"/>
        <s v="CTM"/>
        <s v="JLP"/>
        <s v="BDX"/>
        <s v="GHO"/>
        <s v="USD0"/>
        <s v="TOSHI"/>
        <s v="ASTR"/>
        <s v="XPR"/>
        <s v="GMX"/>
        <s v="CKB"/>
        <s v="TRIA"/>
        <s v="MYX"/>
        <s v="FOGO"/>
        <s v="AMP"/>
        <s v="SN4"/>
        <s v="OPG"/>
        <s v="PROVE"/>
        <s v="MASK"/>
        <s v="COINX"/>
        <s v="XYO"/>
        <s v="WMTX"/>
        <s v="MRVLX"/>
        <s v="SSV"/>
        <s v="MUon"/>
        <s v="PYTHIA"/>
        <s v="ELON"/>
        <s v="MEME"/>
        <s v="POWR"/>
        <s v="ESP"/>
        <s v="CARV"/>
        <s v="HYPER"/>
        <s v="WOJAK"/>
        <s v="ORBS"/>
        <s v="GMT"/>
        <s v="IOST"/>
        <s v="SPELL"/>
        <s v="KLK"/>
        <s v="KRAQx"/>
        <s v="ORBR"/>
        <s v="ANT"/>
        <s v="STRAX"/>
        <s v="CHEX"/>
        <s v="SLVon"/>
        <s v="RUJI"/>
        <s v="PARTI"/>
        <s v="ZKP"/>
        <s v="COLLECT"/>
        <s v="ON"/>
        <s v="GRND"/>
        <s v="ZKC"/>
        <s v="AIO"/>
        <s v="XAN"/>
        <s v="QKC"/>
        <s v="CELR"/>
        <s v="SUSD"/>
        <s v="APTM"/>
        <s v="PSG"/>
        <s v="BLUAI"/>
        <s v="NEWT"/>
        <s v="POWER"/>
        <s v="FOREST"/>
        <s v="ELSA"/>
        <s v="FUL"/>
        <s v="LUMIA"/>
        <s v="VINE"/>
        <s v="PEP"/>
        <s v="ACE"/>
        <s v="HONX"/>
        <s v="RECALL"/>
        <s v="ABBVX"/>
        <s v="HUNT"/>
        <s v="BLESS"/>
        <s v="MPLX"/>
        <s v="BOBA"/>
        <s v="MWXT"/>
        <s v="BAL"/>
        <s v="APU"/>
        <s v="EWT"/>
        <s v="ORCLon"/>
        <s v="ABTX"/>
        <s v="FORT"/>
        <s v="ALPINE"/>
        <s v="GAL"/>
        <s v="IKA"/>
        <s v="WECAN"/>
        <s v="TAKE"/>
        <s v="HDN"/>
        <s v="GST"/>
        <s v="PUMP"/>
        <s v="FARTBOY"/>
        <s v="CRTS"/>
        <s v="BOB"/>
        <s v="HEI"/>
        <s v="OXYon"/>
        <s v="$PURPE"/>
        <s v="COS"/>
        <s v="CRETA"/>
        <s v="PROPC"/>
        <s v="SNS"/>
        <s v="MONA"/>
        <s v="KAN"/>
        <s v="CATE"/>
        <s v="MANYU"/>
        <s v="IXT"/>
        <s v="PX"/>
        <s v="401JK"/>
        <s v="MVC"/>
        <s v="UBT"/>
        <s v="STRIKE"/>
        <s v="ST"/>
        <s v="XBG"/>
        <s v="DMC"/>
        <s v="TQQQon"/>
        <s v="PIB"/>
        <s v="FEI"/>
        <s v="MYRO"/>
        <s v="ARW"/>
        <s v="BABAon"/>
        <s v="BEAM"/>
        <s v="VFY"/>
        <s v="DRX"/>
        <s v="XTER"/>
        <s v="WNCG"/>
        <s v="CEEK"/>
        <s v="SLX"/>
        <s v="BEE"/>
        <s v="MANEKI"/>
        <s v="CVXon"/>
        <s v="REEF"/>
        <s v="NUMI"/>
        <s v="DEVVE"/>
        <s v="FOXSY"/>
        <s v="LOT"/>
        <s v="ALTT"/>
        <s v="SIS"/>
        <s v="NFLXX"/>
        <s v="SHPING"/>
        <s v="HTR"/>
        <s v="MLT"/>
        <s v="PIRATE"/>
        <s v="X"/>
        <s v="DAM"/>
        <s v="WIKEN"/>
        <s v="GFAL"/>
        <s v="NTX"/>
        <s v="PIPE"/>
        <s v="KORI"/>
        <s v="AZIT"/>
        <s v="FLT"/>
        <s v="NTRN"/>
        <s v="NMT"/>
        <s v="ZEUS"/>
        <s v="STORM"/>
        <s v="PEPU"/>
        <s v="LA"/>
        <s v="SAMO"/>
        <s v="DDX"/>
        <s v="GRACY"/>
        <s v="PWEASE"/>
        <s v="GLQ"/>
        <s v="BEST"/>
        <s v="XDAG"/>
        <s v="XPRT"/>
        <s v="RKLBon"/>
        <s v="UNIBOT"/>
        <s v="SHR"/>
        <s v="ICHI"/>
        <s v="GSon"/>
        <s v="ABTon"/>
        <s v="BB"/>
        <s v="RMV"/>
        <s v="VEX"/>
        <s v="CLORE"/>
        <s v="Formula1" f="1"/>
        <s v="Formula2" f="1"/>
        <s v="Formula3" f="1"/>
        <s v="Formula4" f="1"/>
        <s v="Formula5" f="1"/>
        <s v="Formula6" f="1"/>
        <s v="Formula7" f="1"/>
        <s v="Formula8" f="1"/>
        <s v="Formula9" f="1"/>
        <s v="Formula10" f="1"/>
      </sharedItems>
    </cacheField>
    <cacheField name="Price(USD)" numFmtId="2">
      <sharedItems containsSemiMixedTypes="0" containsString="0" containsNumber="1" minValue="1.4600000000000001E-5" maxValue="80712.679999999993"/>
    </cacheField>
    <cacheField name="1h Change (%)" numFmtId="0">
      <sharedItems containsSemiMixedTypes="0" containsString="0" containsNumber="1" minValue="0" maxValue="0.14630000000000001"/>
    </cacheField>
    <cacheField name="Market Cap" numFmtId="0">
      <sharedItems/>
    </cacheField>
    <cacheField name="Volume (24h) USD" numFmtId="0">
      <sharedItems containsSemiMixedTypes="0" containsString="0" containsNumber="1" containsInteger="1" minValue="1" maxValue="48312579282"/>
    </cacheField>
    <cacheField name="Circulating Supply" numFmtId="0">
      <sharedItems/>
    </cacheField>
    <cacheField name="Circulating_Supply($)" numFmtId="0">
      <sharedItems containsString="0" containsBlank="1" containsNumber="1" minValue="1250" maxValue="998580000000000"/>
    </cacheField>
    <cacheField name="  Market Cap" numFmtId="0">
      <sharedItems containsSemiMixedTypes="0" containsString="0" containsNumber="1" containsInteger="1" minValue="1170000" maxValue="1620000000000"/>
    </cacheField>
    <cacheField name=" Dollar Volume per Supply" numFmtId="0">
      <sharedItems containsMixedTypes="1" containsNumber="1" minValue="2.8170251757495644E-9" maxValue="939.32719999999995"/>
    </cacheField>
    <cacheField name="Rank" numFmtId="0">
      <sharedItems containsSemiMixedTypes="0" containsString="0" containsNumber="1" containsInteger="1" minValue="1" maxValue="197"/>
    </cacheField>
    <cacheField name="Price Range" numFmtId="0">
      <sharedItems count="7">
        <s v="100-10000"/>
        <s v="10000+"/>
        <s v="0.5-1"/>
        <s v="1-2"/>
        <s v="10-100"/>
        <s v="0-0.5"/>
        <s v="2-10"/>
      </sharedItems>
    </cacheField>
    <cacheField name="Price(USD)2" numFmtId="0">
      <sharedItems containsSemiMixedTypes="0" containsString="0" containsNumber="1" minValue="1.4600000000000001E-5" maxValue="80712.679999999993"/>
    </cacheField>
    <cacheField name="Name Filter" numFmtId="0">
      <sharedItems count="2">
        <s v="Show"/>
        <s v="Hide"/>
      </sharedItems>
    </cacheField>
    <cacheField name="Price Category" numFmtId="0">
      <sharedItems count="2">
        <s v="Above 50"/>
        <s v="0-50"/>
      </sharedItems>
    </cacheField>
    <cacheField name="Previous Price" numFmtId="0">
      <sharedItems containsSemiMixedTypes="0" containsString="0" containsNumber="1" minValue="1.4578132800798802E-5" maxValue="80567.658215212607"/>
    </cacheField>
    <cacheField name="Price Filter" numFmtId="0">
      <sharedItems count="2">
        <s v="&gt;= $10"/>
        <s v="Up to $10"/>
      </sharedItems>
    </cacheField>
    <cacheField name="Previous 24h Price" numFmtId="0">
      <sharedItems containsSemiMixedTypes="0" containsString="0" containsNumber="1" minValue="1.4455445544554456E-5" maxValue="79913.544554455439"/>
    </cacheField>
    <cacheField name="7d Change (%)" numFmtId="0">
      <sharedItems containsSemiMixedTypes="0" containsString="0" containsNumber="1" minValue="0" maxValue="1.0241"/>
    </cacheField>
    <cacheField name="Previous 7d Price" numFmtId="0">
      <sharedItems containsSemiMixedTypes="0" containsString="0" containsNumber="1" minValue="1.4448292924294905E-5" maxValue="79708.354730396997"/>
    </cacheField>
    <cacheField name="24h Change (%)" numFmtId="0">
      <sharedItems containsSemiMixedTypes="0" containsString="0" containsNumber="1" minValue="-0.01" maxValue="-0.01"/>
    </cacheField>
    <cacheField name="Avg Downfall %" numFmtId="0">
      <sharedItems containsSemiMixedTypes="0" containsString="0" containsNumber="1" minValue="1.3333333333333369E-4" maxValue="0.38680000000000003"/>
    </cacheField>
    <cacheField name="Price Group" numFmtId="0">
      <sharedItems count="5">
        <s v="&gt;$50"/>
        <s v="0.5-5"/>
        <s v="0.05-0.5"/>
        <s v="0-0.05"/>
        <s v="5-50"/>
      </sharedItems>
    </cacheField>
  </cacheFields>
  <calculatedItems count="10">
    <calculatedItem>
      <pivotArea cacheIndex="1" outline="0" fieldPosition="0">
        <references count="1">
          <reference field="1" count="1">
            <x v="198"/>
          </reference>
        </references>
      </pivotArea>
    </calculatedItem>
    <calculatedItem>
      <pivotArea cacheIndex="1" outline="0" fieldPosition="0">
        <references count="1">
          <reference field="1" count="1">
            <x v="199"/>
          </reference>
        </references>
      </pivotArea>
    </calculatedItem>
    <calculatedItem>
      <pivotArea cacheIndex="1" outline="0" fieldPosition="0">
        <references count="1">
          <reference field="1" count="1">
            <x v="200"/>
          </reference>
        </references>
      </pivotArea>
    </calculatedItem>
    <calculatedItem>
      <pivotArea cacheIndex="1" outline="0" fieldPosition="0">
        <references count="1">
          <reference field="1" count="1">
            <x v="201"/>
          </reference>
        </references>
      </pivotArea>
    </calculatedItem>
    <calculatedItem>
      <pivotArea cacheIndex="1" outline="0" fieldPosition="0">
        <references count="1">
          <reference field="1" count="1">
            <x v="202"/>
          </reference>
        </references>
      </pivotArea>
    </calculatedItem>
    <calculatedItem>
      <pivotArea cacheIndex="1" outline="0" fieldPosition="0">
        <references count="1">
          <reference field="1" count="1">
            <x v="203"/>
          </reference>
        </references>
      </pivotArea>
    </calculatedItem>
    <calculatedItem>
      <pivotArea cacheIndex="1" outline="0" fieldPosition="0">
        <references count="1">
          <reference field="1" count="1">
            <x v="204"/>
          </reference>
        </references>
      </pivotArea>
    </calculatedItem>
    <calculatedItem>
      <pivotArea cacheIndex="1" outline="0" fieldPosition="0">
        <references count="1">
          <reference field="1" count="1">
            <x v="205"/>
          </reference>
        </references>
      </pivotArea>
    </calculatedItem>
    <calculatedItem>
      <pivotArea cacheIndex="1" outline="0" fieldPosition="0">
        <references count="1">
          <reference field="1" count="1">
            <x v="206"/>
          </reference>
        </references>
      </pivotArea>
    </calculatedItem>
    <calculatedItem>
      <pivotArea cacheIndex="1" outline="0" fieldPosition="0">
        <references count="1">
          <reference field="1" count="1">
            <x v="207"/>
          </reference>
        </references>
      </pivotArea>
    </calculatedItem>
  </calculatedItems>
  <extLst>
    <ext xmlns:x14="http://schemas.microsoft.com/office/spreadsheetml/2009/9/main" uri="{725AE2AE-9491-48be-B2B4-4EB974FC3084}">
      <x14:pivotCacheDefinition pivotCacheId="13590797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8">
  <r>
    <x v="0"/>
    <x v="0"/>
    <n v="162.97999999999999"/>
    <n v="2.9999999999999997E-4"/>
    <s v="16.77M"/>
    <n v="1457463"/>
    <s v="102.89K"/>
    <n v="102890"/>
    <n v="16770000"/>
    <n v="14.165254154922733"/>
    <n v="90"/>
    <x v="0"/>
    <n v="162.97999999999999"/>
    <x v="0"/>
    <x v="0"/>
    <n v="162.93112066380087"/>
    <x v="0"/>
    <n v="161.36633663366337"/>
    <n v="2.0999999999999999E-3"/>
    <n v="162.63845923560521"/>
    <n v="-0.01"/>
    <n v="2.5333333333333336E-3"/>
    <x v="0"/>
  </r>
  <r>
    <x v="1"/>
    <x v="1"/>
    <n v="80712.679999999993"/>
    <n v="1.8E-3"/>
    <s v="1.62T"/>
    <n v="16628011956"/>
    <s v="20.02M"/>
    <n v="20020000"/>
    <n v="1620000000000"/>
    <n v="830.57002777222772"/>
    <n v="1"/>
    <x v="1"/>
    <n v="80712.679999999993"/>
    <x v="0"/>
    <x v="0"/>
    <n v="80567.658215212607"/>
    <x v="0"/>
    <n v="79913.544554455439"/>
    <n v="1.26E-2"/>
    <n v="79708.354730396997"/>
    <n v="-0.01"/>
    <n v="1.4666666666666665E-3"/>
    <x v="0"/>
  </r>
  <r>
    <x v="2"/>
    <x v="2"/>
    <n v="2324.59"/>
    <n v="3.0000000000000001E-3"/>
    <s v="280.93B"/>
    <n v="10716404174"/>
    <s v="120.68M"/>
    <n v="120680000"/>
    <n v="280930000000"/>
    <n v="88.800167169373552"/>
    <n v="2"/>
    <x v="0"/>
    <n v="2324.59"/>
    <x v="0"/>
    <x v="0"/>
    <n v="2317.6370887337989"/>
    <x v="0"/>
    <n v="2301.5742574257429"/>
    <n v="2.1000000000000001E-2"/>
    <n v="2276.7776689520083"/>
    <n v="-0.01"/>
    <n v="4.6666666666666671E-3"/>
    <x v="0"/>
  </r>
  <r>
    <x v="3"/>
    <x v="3"/>
    <n v="0.99980000000000002"/>
    <n v="0"/>
    <s v="189.65B"/>
    <n v="48312579282"/>
    <s v="189.69B"/>
    <n v="189690000000"/>
    <n v="189650000000"/>
    <n v="0.25469228363118773"/>
    <n v="3"/>
    <x v="2"/>
    <n v="0.99980000000000002"/>
    <x v="1"/>
    <x v="1"/>
    <n v="0.99980000000000002"/>
    <x v="1"/>
    <n v="0.98990099009900989"/>
    <n v="0"/>
    <n v="0.99980000000000002"/>
    <n v="-0.01"/>
    <n v="3.3333333333333335E-3"/>
    <x v="1"/>
  </r>
  <r>
    <x v="4"/>
    <x v="4"/>
    <n v="1.42"/>
    <n v="1.5E-3"/>
    <s v="88.22B"/>
    <n v="1116496778"/>
    <s v="61.79B"/>
    <n v="61790000000"/>
    <n v="88220000000"/>
    <n v="1.8069214727302153E-2"/>
    <n v="4"/>
    <x v="3"/>
    <n v="1.42"/>
    <x v="1"/>
    <x v="1"/>
    <n v="1.4178731902146777"/>
    <x v="1"/>
    <n v="1.4059405940594059"/>
    <n v="1.0500000000000001E-2"/>
    <n v="1.4052449282533399"/>
    <n v="-0.01"/>
    <n v="6.6666666666666664E-4"/>
    <x v="1"/>
  </r>
  <r>
    <x v="5"/>
    <x v="5"/>
    <n v="651.03"/>
    <n v="8.9999999999999998E-4"/>
    <s v="87.8B"/>
    <n v="778535503"/>
    <s v="134.78M"/>
    <n v="134780000"/>
    <n v="87800000000"/>
    <n v="5.7763429514764804"/>
    <n v="5"/>
    <x v="0"/>
    <n v="651.03"/>
    <x v="0"/>
    <x v="0"/>
    <n v="650.44459986012589"/>
    <x v="0"/>
    <n v="644.58415841584156"/>
    <n v="6.3E-3"/>
    <n v="646.95418861174596"/>
    <n v="-0.01"/>
    <n v="9.3333333333333343E-4"/>
    <x v="0"/>
  </r>
  <r>
    <x v="6"/>
    <x v="6"/>
    <n v="0.99980000000000002"/>
    <n v="1E-4"/>
    <s v="77.88B"/>
    <n v="5322893046"/>
    <s v="77.89B"/>
    <n v="77890000000"/>
    <n v="77880000000"/>
    <n v="6.8338593477981768E-2"/>
    <n v="6"/>
    <x v="2"/>
    <n v="0.99980000000000002"/>
    <x v="0"/>
    <x v="1"/>
    <n v="0.99970002999700036"/>
    <x v="1"/>
    <n v="0.98990099009900989"/>
    <n v="6.9999999999999999E-4"/>
    <n v="0.99910062955930856"/>
    <n v="-0.01"/>
    <n v="3.0666666666666672E-3"/>
    <x v="1"/>
  </r>
  <r>
    <x v="7"/>
    <x v="7"/>
    <n v="94.31"/>
    <n v="3.2000000000000002E-3"/>
    <s v="54.47B"/>
    <n v="3160895215"/>
    <s v="577.56M"/>
    <n v="577560000"/>
    <n v="54470000000"/>
    <n v="5.4728430206385488"/>
    <n v="7"/>
    <x v="4"/>
    <n v="94.31"/>
    <x v="1"/>
    <x v="0"/>
    <n v="94.009170653907489"/>
    <x v="0"/>
    <n v="93.376237623762378"/>
    <n v="2.24E-2"/>
    <n v="92.243740219092331"/>
    <n v="-0.01"/>
    <n v="5.1999999999999998E-3"/>
    <x v="0"/>
  </r>
  <r>
    <x v="8"/>
    <x v="8"/>
    <n v="0.34920000000000001"/>
    <n v="1E-4"/>
    <s v="33.1B"/>
    <n v="598206865"/>
    <s v="94.79B"/>
    <n v="94790000000"/>
    <n v="33100000000"/>
    <n v="6.3108647009178179E-3"/>
    <n v="8"/>
    <x v="5"/>
    <n v="0.34920000000000001"/>
    <x v="1"/>
    <x v="1"/>
    <n v="0.34916508349165087"/>
    <x v="1"/>
    <n v="0.34574257425742577"/>
    <n v="6.9999999999999999E-4"/>
    <n v="0.34895573098830823"/>
    <n v="-0.01"/>
    <n v="3.0666666666666672E-3"/>
    <x v="2"/>
  </r>
  <r>
    <x v="9"/>
    <x v="9"/>
    <n v="0.1085"/>
    <n v="8.0000000000000004E-4"/>
    <s v="16.74B"/>
    <n v="631560189"/>
    <s v="154.17B"/>
    <n v="154170000000"/>
    <n v="16740000000"/>
    <n v="4.0965180579879351E-3"/>
    <n v="9"/>
    <x v="5"/>
    <n v="0.1085"/>
    <x v="0"/>
    <x v="1"/>
    <n v="0.10841326938449242"/>
    <x v="1"/>
    <n v="0.10742574257425742"/>
    <n v="5.5999999999999999E-3"/>
    <n v="0.10789578361177406"/>
    <n v="-0.01"/>
    <n v="1.1999999999999999E-3"/>
    <x v="2"/>
  </r>
  <r>
    <x v="10"/>
    <x v="10"/>
    <n v="0.43659999999999999"/>
    <n v="6.9999999999999999E-4"/>
    <s v="399.65M"/>
    <n v="41931037"/>
    <s v="915.33M"/>
    <n v="915330000"/>
    <n v="399650000"/>
    <n v="4.5809748396753086E-2"/>
    <n v="20"/>
    <x v="5"/>
    <n v="0.43659999999999999"/>
    <x v="0"/>
    <x v="1"/>
    <n v="0.43629459378435098"/>
    <x v="1"/>
    <n v="0.43227722772277227"/>
    <n v="4.8999999999999998E-3"/>
    <n v="0.43447109165091058"/>
    <n v="-0.01"/>
    <n v="1.4666666666666671E-3"/>
    <x v="2"/>
  </r>
  <r>
    <x v="11"/>
    <x v="11"/>
    <n v="0.99929999999999997"/>
    <n v="1E-4"/>
    <s v="399.46M"/>
    <n v="207228664"/>
    <s v="399.73M"/>
    <n v="399730000"/>
    <n v="399460000"/>
    <n v="0.51842159457633907"/>
    <n v="21"/>
    <x v="2"/>
    <n v="0.99929999999999997"/>
    <x v="1"/>
    <x v="1"/>
    <n v="0.99920007999200078"/>
    <x v="1"/>
    <n v="0.9894059405940594"/>
    <n v="6.9999999999999999E-4"/>
    <n v="0.99860097931447989"/>
    <n v="-0.01"/>
    <n v="3.0666666666666672E-3"/>
    <x v="1"/>
  </r>
  <r>
    <x v="12"/>
    <x v="12"/>
    <n v="2.0330000000000001E-2"/>
    <n v="4.0000000000000002E-4"/>
    <s v="390.9M"/>
    <n v="65218320"/>
    <s v="19.22B"/>
    <n v="19220000000"/>
    <n v="390900000"/>
    <n v="3.3932528616024975E-3"/>
    <n v="22"/>
    <x v="5"/>
    <n v="2.0330000000000001E-2"/>
    <x v="1"/>
    <x v="1"/>
    <n v="2.0321871251499403E-2"/>
    <x v="1"/>
    <n v="2.0128712871287129E-2"/>
    <n v="2.8E-3"/>
    <n v="2.027323494216195E-2"/>
    <n v="-0.01"/>
    <n v="2.2666666666666668E-3"/>
    <x v="3"/>
  </r>
  <r>
    <x v="13"/>
    <x v="13"/>
    <n v="0.25519999999999998"/>
    <n v="0"/>
    <s v="383.1M"/>
    <n v="38651475"/>
    <s v="1.5B"/>
    <n v="1500000000"/>
    <n v="383100000"/>
    <n v="2.576765E-2"/>
    <n v="23"/>
    <x v="5"/>
    <n v="0.25519999999999998"/>
    <x v="0"/>
    <x v="1"/>
    <n v="0.25519999999999998"/>
    <x v="1"/>
    <n v="0.25267326732673268"/>
    <n v="0"/>
    <n v="0.25519999999999998"/>
    <n v="-0.01"/>
    <n v="3.3333333333333335E-3"/>
    <x v="2"/>
  </r>
  <r>
    <x v="14"/>
    <x v="14"/>
    <n v="0.38229999999999997"/>
    <n v="1.0200000000000001E-2"/>
    <s v="382.38M"/>
    <n v="13327681"/>
    <s v="1B"/>
    <n v="1000000000"/>
    <n v="382380000"/>
    <n v="1.3327680999999999E-2"/>
    <n v="24"/>
    <x v="5"/>
    <n v="0.38229999999999997"/>
    <x v="1"/>
    <x v="1"/>
    <n v="0.3784399128885369"/>
    <x v="1"/>
    <n v="0.37851485148514846"/>
    <n v="7.1400000000000005E-2"/>
    <n v="0.35682284860929625"/>
    <n v="-0.01"/>
    <n v="2.3866666666666671E-2"/>
    <x v="2"/>
  </r>
  <r>
    <x v="15"/>
    <x v="15"/>
    <n v="0.45429999999999998"/>
    <n v="4.8999999999999998E-3"/>
    <s v="379.82M"/>
    <n v="25479355"/>
    <s v="835.96M"/>
    <n v="835960000"/>
    <n v="379820000"/>
    <n v="3.0479155701229724E-2"/>
    <n v="25"/>
    <x v="5"/>
    <n v="0.45429999999999998"/>
    <x v="0"/>
    <x v="1"/>
    <n v="0.45208478455567719"/>
    <x v="1"/>
    <n v="0.44980198019801976"/>
    <n v="3.4299999999999997E-2"/>
    <n v="0.43923426472010052"/>
    <n v="-0.01"/>
    <n v="9.7333333333333317E-3"/>
    <x v="2"/>
  </r>
  <r>
    <x v="16"/>
    <x v="16"/>
    <n v="0.18840000000000001"/>
    <n v="1E-3"/>
    <s v="376.94M"/>
    <n v="20503923"/>
    <s v="2B"/>
    <n v="2000000000"/>
    <n v="376940000"/>
    <n v="1.02519615E-2"/>
    <n v="26"/>
    <x v="5"/>
    <n v="0.18840000000000001"/>
    <x v="0"/>
    <x v="1"/>
    <n v="0.18821178821178824"/>
    <x v="1"/>
    <n v="0.18653465346534653"/>
    <n v="7.0000000000000001E-3"/>
    <n v="0.187090367428004"/>
    <n v="-0.01"/>
    <n v="6.6666666666666697E-4"/>
    <x v="2"/>
  </r>
  <r>
    <x v="17"/>
    <x v="17"/>
    <n v="0.1027"/>
    <n v="1E-3"/>
    <s v="356.84M"/>
    <n v="11030947"/>
    <s v="3.47B"/>
    <n v="3470000000"/>
    <n v="356840000"/>
    <n v="3.1789472622478386E-3"/>
    <n v="27"/>
    <x v="5"/>
    <n v="0.1027"/>
    <x v="0"/>
    <x v="1"/>
    <n v="0.1025974025974026"/>
    <x v="1"/>
    <n v="0.10168316831683168"/>
    <n v="7.0000000000000001E-3"/>
    <n v="0.10198609731876863"/>
    <n v="-0.01"/>
    <n v="6.6666666666666697E-4"/>
    <x v="2"/>
  </r>
  <r>
    <x v="18"/>
    <x v="18"/>
    <n v="0.35120000000000001"/>
    <n v="9.4000000000000004E-3"/>
    <s v="351.23M"/>
    <n v="43376749"/>
    <s v="1B"/>
    <n v="1000000000"/>
    <n v="351230000"/>
    <n v="4.3376748999999999E-2"/>
    <n v="28"/>
    <x v="5"/>
    <n v="0.35120000000000001"/>
    <x v="0"/>
    <x v="1"/>
    <n v="0.34792946304735484"/>
    <x v="1"/>
    <n v="0.34772277227722775"/>
    <n v="6.5799999999999997E-2"/>
    <n v="0.329517733158191"/>
    <n v="-0.01"/>
    <n v="2.173333333333333E-2"/>
    <x v="2"/>
  </r>
  <r>
    <x v="19"/>
    <x v="19"/>
    <n v="132.97"/>
    <n v="2.9999999999999997E-4"/>
    <s v="350.98M"/>
    <n v="1606123"/>
    <s v="2.63M"/>
    <n v="2630000"/>
    <n v="350980000"/>
    <n v="0.61069315589353612"/>
    <n v="29"/>
    <x v="0"/>
    <n v="132.97"/>
    <x v="1"/>
    <x v="0"/>
    <n v="132.93012096371089"/>
    <x v="0"/>
    <n v="131.65346534653466"/>
    <n v="2.0999999999999999E-3"/>
    <n v="132.69134816884542"/>
    <n v="-0.01"/>
    <n v="2.5333333333333336E-3"/>
    <x v="0"/>
  </r>
  <r>
    <x v="20"/>
    <x v="20"/>
    <n v="7.4920000000000004E-3"/>
    <n v="1.5E-3"/>
    <s v="3.58B"/>
    <n v="27298130"/>
    <s v="478.41B"/>
    <n v="478410000000"/>
    <n v="3580000000"/>
    <n v="5.7060115800255011E-5"/>
    <n v="10"/>
    <x v="5"/>
    <n v="7.4920000000000004E-3"/>
    <x v="1"/>
    <x v="1"/>
    <n v="7.4807788317523714E-3"/>
    <x v="1"/>
    <n v="7.4178217821782178E-3"/>
    <n v="1.0500000000000001E-2"/>
    <n v="7.4141514101929741E-3"/>
    <n v="-0.01"/>
    <n v="6.6666666666666664E-4"/>
    <x v="3"/>
  </r>
  <r>
    <x v="21"/>
    <x v="21"/>
    <n v="5.1965999999999998E-2"/>
    <n v="1.1000000000000001E-3"/>
    <s v="1.78B"/>
    <n v="68780736"/>
    <s v="905.7T"/>
    <n v="905700000000000"/>
    <n v="1780000000"/>
    <n v="7.5942073534282872E-8"/>
    <n v="11"/>
    <x v="5"/>
    <n v="5.1965999999999998E-2"/>
    <x v="1"/>
    <x v="1"/>
    <n v="5.1908900209769245E-2"/>
    <x v="1"/>
    <n v="5.1451485148514851E-2"/>
    <n v="7.7000000000000002E-3"/>
    <n v="5.156891932122655E-2"/>
    <n v="-0.01"/>
    <n v="3.9999999999999991E-4"/>
    <x v="2"/>
  </r>
  <r>
    <x v="22"/>
    <x v="22"/>
    <n v="0.99750000000000005"/>
    <n v="1E-4"/>
    <s v="1.62B"/>
    <n v="290443"/>
    <s v="1.62B"/>
    <n v="1620000000"/>
    <n v="1620000000"/>
    <n v="1.7928580246913579E-4"/>
    <n v="12"/>
    <x v="2"/>
    <n v="0.99750000000000005"/>
    <x v="1"/>
    <x v="1"/>
    <n v="0.99740025997400261"/>
    <x v="1"/>
    <n v="0.98762376237623761"/>
    <n v="6.9999999999999999E-4"/>
    <n v="0.99680223843309701"/>
    <n v="-0.01"/>
    <n v="3.0666666666666672E-3"/>
    <x v="1"/>
  </r>
  <r>
    <x v="23"/>
    <x v="23"/>
    <n v="5.08"/>
    <n v="3.0999999999999999E-3"/>
    <s v="1.58B"/>
    <n v="58814485"/>
    <s v="309.95M"/>
    <n v="309950000"/>
    <n v="1580000000"/>
    <n v="0.18975475076625262"/>
    <n v="13"/>
    <x v="6"/>
    <n v="5.08"/>
    <x v="1"/>
    <x v="1"/>
    <n v="5.0643006679294187"/>
    <x v="1"/>
    <n v="5.0297029702970297"/>
    <n v="2.1700000000000001E-2"/>
    <n v="4.9721053146716256"/>
    <n v="-0.01"/>
    <n v="4.9333333333333338E-3"/>
    <x v="4"/>
  </r>
  <r>
    <x v="24"/>
    <x v="24"/>
    <n v="1.1299999999999999"/>
    <n v="1E-4"/>
    <s v="1.33B"/>
    <n v="45186"/>
    <s v="1.17B"/>
    <n v="1170000000"/>
    <n v="1330000000"/>
    <n v="3.862051282051282E-5"/>
    <n v="14"/>
    <x v="3"/>
    <n v="1.1299999999999999"/>
    <x v="0"/>
    <x v="1"/>
    <n v="1.1298870112988699"/>
    <x v="1"/>
    <n v="1.1188118811881187"/>
    <n v="6.9999999999999999E-4"/>
    <n v="1.1292095533126811"/>
    <n v="-0.01"/>
    <n v="3.0666666666666672E-3"/>
    <x v="1"/>
  </r>
  <r>
    <x v="25"/>
    <x v="25"/>
    <n v="0.21990000000000001"/>
    <n v="2.8999999999999998E-3"/>
    <s v="980.69M"/>
    <n v="3620098"/>
    <s v="4.45B"/>
    <n v="4450000000"/>
    <n v="980690000"/>
    <n v="8.1350516853932579E-4"/>
    <n v="15"/>
    <x v="5"/>
    <n v="0.21990000000000001"/>
    <x v="0"/>
    <x v="1"/>
    <n v="0.21926413401136707"/>
    <x v="1"/>
    <n v="0.21772277227722772"/>
    <n v="2.0299999999999999E-2"/>
    <n v="0.21552484563363719"/>
    <n v="-0.01"/>
    <n v="4.3999999999999994E-3"/>
    <x v="2"/>
  </r>
  <r>
    <x v="26"/>
    <x v="26"/>
    <n v="4.1100000000000003"/>
    <n v="1.2999999999999999E-3"/>
    <s v="972.12M"/>
    <n v="4438616"/>
    <s v="236.19M"/>
    <n v="236190000"/>
    <n v="972120000"/>
    <n v="1.8792565307591345E-2"/>
    <n v="16"/>
    <x v="6"/>
    <n v="4.1100000000000003"/>
    <x v="1"/>
    <x v="1"/>
    <n v="4.1046639368820532"/>
    <x v="1"/>
    <n v="4.0693069306930694"/>
    <n v="9.1000000000000004E-3"/>
    <n v="4.0729362798533346"/>
    <n v="-0.01"/>
    <n v="1.3333333333333369E-4"/>
    <x v="1"/>
  </r>
  <r>
    <x v="27"/>
    <x v="27"/>
    <n v="7.961E-2"/>
    <n v="8.9999999999999998E-4"/>
    <s v="616.03M"/>
    <n v="16767802"/>
    <s v="7.73B"/>
    <n v="7730000000"/>
    <n v="616030000"/>
    <n v="2.1691852522639069E-3"/>
    <n v="17"/>
    <x v="5"/>
    <n v="7.961E-2"/>
    <x v="0"/>
    <x v="1"/>
    <n v="7.9538415426116504E-2"/>
    <x v="1"/>
    <n v="7.8821782178217822E-2"/>
    <n v="6.3E-3"/>
    <n v="7.9111596939282519E-2"/>
    <n v="-0.01"/>
    <n v="9.3333333333333343E-4"/>
    <x v="2"/>
  </r>
  <r>
    <x v="28"/>
    <x v="28"/>
    <n v="0.99950000000000006"/>
    <n v="0"/>
    <s v="583.76M"/>
    <n v="401865"/>
    <s v="584M"/>
    <n v="584000000"/>
    <n v="583760000"/>
    <n v="6.8812500000000004E-4"/>
    <n v="18"/>
    <x v="2"/>
    <n v="0.99950000000000006"/>
    <x v="1"/>
    <x v="1"/>
    <n v="0.99950000000000006"/>
    <x v="1"/>
    <n v="0.98960396039603959"/>
    <n v="0"/>
    <n v="0.99950000000000006"/>
    <n v="-0.01"/>
    <n v="3.3333333333333335E-3"/>
    <x v="1"/>
  </r>
  <r>
    <x v="29"/>
    <x v="29"/>
    <n v="0.998"/>
    <n v="1E-4"/>
    <s v="565.41M"/>
    <n v="87559"/>
    <s v="566.51M"/>
    <n v="566510000"/>
    <n v="565410000"/>
    <n v="1.5455861326366701E-4"/>
    <n v="19"/>
    <x v="2"/>
    <n v="0.998"/>
    <x v="0"/>
    <x v="1"/>
    <n v="0.99790020997900208"/>
    <x v="1"/>
    <n v="0.98811881188118811"/>
    <n v="6.9999999999999999E-4"/>
    <n v="0.99730188867792557"/>
    <n v="-0.01"/>
    <n v="3.0666666666666672E-3"/>
    <x v="1"/>
  </r>
  <r>
    <x v="30"/>
    <x v="30"/>
    <n v="1.952E-4"/>
    <n v="4.1999999999999997E-3"/>
    <s v="82.14M"/>
    <n v="15492616"/>
    <s v="420.66B"/>
    <n v="420660000000"/>
    <n v="82140000"/>
    <n v="3.6829306328150999E-5"/>
    <n v="30"/>
    <x v="5"/>
    <n v="1.952E-4"/>
    <x v="1"/>
    <x v="1"/>
    <n v="1.9438358892650867E-4"/>
    <x v="1"/>
    <n v="1.9326732673267326E-4"/>
    <n v="2.9399999999999999E-2"/>
    <n v="1.8962502428599183E-4"/>
    <n v="-0.01"/>
    <n v="7.8666666666666659E-3"/>
    <x v="3"/>
  </r>
  <r>
    <x v="31"/>
    <x v="31"/>
    <n v="9.3790000000000002E-3"/>
    <n v="6.0000000000000001E-3"/>
    <s v="81.48M"/>
    <n v="2642773"/>
    <s v="8.68B"/>
    <n v="8680000000"/>
    <n v="81480000"/>
    <n v="3.0446693548387096E-4"/>
    <n v="31"/>
    <x v="5"/>
    <n v="9.3790000000000002E-3"/>
    <x v="0"/>
    <x v="1"/>
    <n v="9.3230616302186885E-3"/>
    <x v="1"/>
    <n v="9.2861386138613864E-3"/>
    <n v="4.2000000000000003E-2"/>
    <n v="9.0009596928982728E-3"/>
    <n v="-0.01"/>
    <n v="1.2666666666666668E-2"/>
    <x v="3"/>
  </r>
  <r>
    <x v="32"/>
    <x v="32"/>
    <n v="2.8089999999999999E-3"/>
    <n v="2.0999999999999999E-3"/>
    <s v="81.44M"/>
    <n v="1922336"/>
    <s v="28.98B"/>
    <n v="28980000000"/>
    <n v="81440000"/>
    <n v="6.6333195307108353E-5"/>
    <n v="32"/>
    <x v="5"/>
    <n v="2.8089999999999999E-3"/>
    <x v="1"/>
    <x v="1"/>
    <n v="2.8031134617303661E-3"/>
    <x v="1"/>
    <n v="2.7811881188118809E-3"/>
    <n v="1.47E-2"/>
    <n v="2.7683059032226273E-3"/>
    <n v="-0.01"/>
    <n v="2.2666666666666664E-3"/>
    <x v="3"/>
  </r>
  <r>
    <x v="33"/>
    <x v="33"/>
    <n v="7.8"/>
    <n v="6.9999999999999999E-4"/>
    <s v="81.19M"/>
    <n v="4855720"/>
    <s v="10.39M"/>
    <n v="10390000"/>
    <n v="81190000"/>
    <n v="0.46734552454282963"/>
    <n v="33"/>
    <x v="6"/>
    <n v="7.8"/>
    <x v="1"/>
    <x v="1"/>
    <n v="7.7945438193264716"/>
    <x v="1"/>
    <n v="7.7227722772277225"/>
    <n v="4.8999999999999998E-3"/>
    <n v="7.7619663648124195"/>
    <n v="-0.01"/>
    <n v="1.4666666666666671E-3"/>
    <x v="4"/>
  </r>
  <r>
    <x v="34"/>
    <x v="34"/>
    <n v="1.65E-3"/>
    <n v="7.3000000000000001E-3"/>
    <s v="80.45M"/>
    <n v="5028571"/>
    <s v="48.73B"/>
    <n v="48730000000"/>
    <n v="80450000"/>
    <n v="1.0319250974758875E-4"/>
    <n v="34"/>
    <x v="5"/>
    <n v="1.65E-3"/>
    <x v="1"/>
    <x v="1"/>
    <n v="1.6380422912737019E-3"/>
    <x v="1"/>
    <n v="1.6336633663366336E-3"/>
    <n v="5.11E-2"/>
    <n v="1.5697840357720484E-3"/>
    <n v="-0.01"/>
    <n v="1.6133333333333333E-2"/>
    <x v="3"/>
  </r>
  <r>
    <x v="35"/>
    <x v="35"/>
    <n v="3.7060000000000003E-2"/>
    <n v="1.7500000000000002E-2"/>
    <s v="79.96M"/>
    <n v="15872071"/>
    <s v="2.15B"/>
    <n v="2150000000"/>
    <n v="79960000"/>
    <n v="7.3823586046511628E-3"/>
    <n v="35"/>
    <x v="5"/>
    <n v="3.7060000000000003E-2"/>
    <x v="1"/>
    <x v="1"/>
    <n v="3.6422604422604421E-2"/>
    <x v="1"/>
    <n v="3.6693069306930698E-2"/>
    <n v="0.12250000000000001"/>
    <n v="3.3015590200445435E-2"/>
    <n v="-0.01"/>
    <n v="4.3333333333333335E-2"/>
    <x v="3"/>
  </r>
  <r>
    <x v="36"/>
    <x v="36"/>
    <n v="0.26800000000000002"/>
    <n v="5.0000000000000001E-3"/>
    <s v="79.74M"/>
    <n v="12593650"/>
    <s v="297.46M"/>
    <n v="297460000"/>
    <n v="79740000"/>
    <n v="4.2337289047266857E-2"/>
    <n v="36"/>
    <x v="5"/>
    <n v="0.26800000000000002"/>
    <x v="1"/>
    <x v="1"/>
    <n v="0.26666666666666672"/>
    <x v="1"/>
    <n v="0.26534653465346536"/>
    <n v="3.5000000000000003E-2"/>
    <n v="0.25893719806763288"/>
    <n v="-0.01"/>
    <n v="0.01"/>
    <x v="2"/>
  </r>
  <r>
    <x v="37"/>
    <x v="37"/>
    <n v="2.086E-2"/>
    <n v="1.24E-2"/>
    <s v="79.72M"/>
    <n v="9688624"/>
    <s v="3.81B"/>
    <n v="3810000000"/>
    <n v="79720000"/>
    <n v="2.5429459317585302E-3"/>
    <n v="37"/>
    <x v="5"/>
    <n v="2.086E-2"/>
    <x v="1"/>
    <x v="1"/>
    <n v="2.0604504148557884E-2"/>
    <x v="1"/>
    <n v="2.0653465346534654E-2"/>
    <n v="8.6800000000000002E-2"/>
    <n v="1.9193963930806038E-2"/>
    <n v="-0.01"/>
    <n v="2.9733333333333334E-2"/>
    <x v="3"/>
  </r>
  <r>
    <x v="38"/>
    <x v="38"/>
    <n v="9.1569999999999998E-4"/>
    <n v="1.8E-3"/>
    <s v="79.47M"/>
    <n v="7837706"/>
    <s v="86.78B"/>
    <n v="86780000000"/>
    <n v="79470000"/>
    <n v="9.0316962433740499E-5"/>
    <n v="38"/>
    <x v="5"/>
    <n v="9.1569999999999998E-4"/>
    <x v="0"/>
    <x v="1"/>
    <n v="9.140547015372329E-4"/>
    <x v="1"/>
    <n v="9.0663366336633658E-4"/>
    <n v="1.26E-2"/>
    <n v="9.043057475804859E-4"/>
    <n v="-0.01"/>
    <n v="1.4666666666666665E-3"/>
    <x v="3"/>
  </r>
  <r>
    <x v="39"/>
    <x v="39"/>
    <n v="17.91"/>
    <n v="6.6E-3"/>
    <s v="79.09M"/>
    <n v="558739"/>
    <s v="4.41M"/>
    <n v="4410000"/>
    <n v="79090000"/>
    <n v="0.1266981859410431"/>
    <n v="39"/>
    <x v="4"/>
    <n v="17.91"/>
    <x v="1"/>
    <x v="1"/>
    <n v="17.792569044307573"/>
    <x v="0"/>
    <n v="17.732673267326732"/>
    <n v="4.6199999999999998E-2"/>
    <n v="17.119097686866755"/>
    <n v="-0.01"/>
    <n v="1.4266666666666665E-2"/>
    <x v="4"/>
  </r>
  <r>
    <x v="40"/>
    <x v="40"/>
    <n v="0.28560000000000002"/>
    <n v="1E-4"/>
    <s v="54.27M"/>
    <n v="743386018"/>
    <s v="190M"/>
    <n v="190000000"/>
    <n v="54270000"/>
    <n v="3.9125579894736844"/>
    <n v="40"/>
    <x v="5"/>
    <n v="0.28560000000000002"/>
    <x v="0"/>
    <x v="1"/>
    <n v="0.28557144285571445"/>
    <x v="1"/>
    <n v="0.2827722772277228"/>
    <n v="6.9999999999999999E-4"/>
    <n v="0.28540021984610775"/>
    <n v="-0.01"/>
    <n v="3.0666666666666672E-3"/>
    <x v="2"/>
  </r>
  <r>
    <x v="41"/>
    <x v="41"/>
    <n v="0.27810000000000001"/>
    <n v="2.0999999999999999E-3"/>
    <s v="54.25M"/>
    <n v="7210561"/>
    <s v="195M"/>
    <n v="195000000"/>
    <n v="54250000"/>
    <n v="3.6977235897435901E-2"/>
    <n v="41"/>
    <x v="5"/>
    <n v="0.27810000000000001"/>
    <x v="1"/>
    <x v="1"/>
    <n v="0.2775172138509131"/>
    <x v="1"/>
    <n v="0.27534653465346537"/>
    <n v="1.47E-2"/>
    <n v="0.27407115403567561"/>
    <n v="-0.01"/>
    <n v="2.2666666666666664E-3"/>
    <x v="2"/>
  </r>
  <r>
    <x v="42"/>
    <x v="42"/>
    <n v="0.53820000000000001"/>
    <n v="0"/>
    <s v="53.83M"/>
    <n v="16208611"/>
    <s v="100M"/>
    <n v="100000000"/>
    <n v="53830000"/>
    <n v="0.16208611000000001"/>
    <n v="42"/>
    <x v="2"/>
    <n v="0.53820000000000001"/>
    <x v="1"/>
    <x v="1"/>
    <n v="0.53820000000000001"/>
    <x v="1"/>
    <n v="0.5328712871287129"/>
    <n v="0"/>
    <n v="0.53820000000000001"/>
    <n v="-0.01"/>
    <n v="3.3333333333333335E-3"/>
    <x v="1"/>
  </r>
  <r>
    <x v="43"/>
    <x v="43"/>
    <n v="201.91"/>
    <n v="2.0000000000000001E-4"/>
    <s v="53.74M"/>
    <n v="1920230"/>
    <s v="266.17K"/>
    <n v="266170"/>
    <n v="53740000"/>
    <n v="7.2142991321335987"/>
    <n v="43"/>
    <x v="0"/>
    <n v="201.91"/>
    <x v="0"/>
    <x v="0"/>
    <n v="201.86962607478503"/>
    <x v="0"/>
    <n v="199.9108910891089"/>
    <n v="1.4E-3"/>
    <n v="201.62772119033352"/>
    <n v="-0.01"/>
    <n v="2.8E-3"/>
    <x v="0"/>
  </r>
  <r>
    <x v="44"/>
    <x v="44"/>
    <n v="3.9069999999999999E-3"/>
    <n v="1.2999999999999999E-3"/>
    <s v="53.63M"/>
    <n v="4921622"/>
    <s v="13.72B"/>
    <n v="13720000000"/>
    <n v="53630000"/>
    <n v="3.5871880466472304E-4"/>
    <n v="44"/>
    <x v="5"/>
    <n v="3.9069999999999999E-3"/>
    <x v="1"/>
    <x v="1"/>
    <n v="3.9019274942574647E-3"/>
    <x v="1"/>
    <n v="3.8683168316831682E-3"/>
    <n v="9.1000000000000004E-3"/>
    <n v="3.8717669210187292E-3"/>
    <n v="-0.01"/>
    <n v="1.3333333333333369E-4"/>
    <x v="3"/>
  </r>
  <r>
    <x v="45"/>
    <x v="45"/>
    <n v="6.2850000000000003E-2"/>
    <n v="1.4E-3"/>
    <s v="53.54M"/>
    <n v="12747747"/>
    <s v="851.87M"/>
    <n v="851870000"/>
    <n v="53540000"/>
    <n v="1.4964427670888751E-2"/>
    <n v="45"/>
    <x v="5"/>
    <n v="6.2850000000000003E-2"/>
    <x v="1"/>
    <x v="1"/>
    <n v="6.276213301378071E-2"/>
    <x v="1"/>
    <n v="6.2227722772277227E-2"/>
    <n v="9.7999999999999997E-3"/>
    <n v="6.2240047534165184E-2"/>
    <n v="-0.01"/>
    <n v="3.9999999999999991E-4"/>
    <x v="2"/>
  </r>
  <r>
    <x v="46"/>
    <x v="46"/>
    <n v="170.15"/>
    <n v="0"/>
    <s v="53.54M"/>
    <n v="103"/>
    <s v="314.64K"/>
    <n v="314640"/>
    <n v="53540000"/>
    <n v="3.273582506992118E-4"/>
    <n v="45"/>
    <x v="0"/>
    <n v="170.15"/>
    <x v="1"/>
    <x v="0"/>
    <n v="170.15"/>
    <x v="0"/>
    <n v="168.46534653465346"/>
    <n v="0"/>
    <n v="170.15"/>
    <n v="-0.01"/>
    <n v="3.3333333333333335E-3"/>
    <x v="0"/>
  </r>
  <r>
    <x v="47"/>
    <x v="47"/>
    <n v="3.09"/>
    <n v="3.0000000000000001E-3"/>
    <s v="53.36M"/>
    <n v="13868687"/>
    <s v="17.24M"/>
    <n v="17240000"/>
    <n v="53360000"/>
    <n v="0.80444820185614851"/>
    <n v="47"/>
    <x v="6"/>
    <n v="3.09"/>
    <x v="1"/>
    <x v="1"/>
    <n v="3.0807577268195416"/>
    <x v="1"/>
    <n v="3.0594059405940595"/>
    <n v="2.1000000000000001E-2"/>
    <n v="3.0264446620959844"/>
    <n v="-0.01"/>
    <n v="4.6666666666666671E-3"/>
    <x v="1"/>
  </r>
  <r>
    <x v="48"/>
    <x v="48"/>
    <n v="761.75"/>
    <n v="2.5000000000000001E-3"/>
    <s v="53.31M"/>
    <n v="3023657"/>
    <s v="69.98K"/>
    <n v="69980"/>
    <n v="53310000"/>
    <n v="43.207444984281224"/>
    <n v="48"/>
    <x v="0"/>
    <n v="761.75"/>
    <x v="1"/>
    <x v="0"/>
    <n v="759.85037406483798"/>
    <x v="0"/>
    <n v="754.20792079207922"/>
    <n v="1.7500000000000002E-2"/>
    <n v="748.64864864864865"/>
    <n v="-0.01"/>
    <n v="3.333333333333334E-3"/>
    <x v="0"/>
  </r>
  <r>
    <x v="49"/>
    <x v="49"/>
    <n v="5.2679999999999998E-2"/>
    <n v="1.6299999999999999E-2"/>
    <s v="52.59M"/>
    <n v="1408311"/>
    <s v="998.15M"/>
    <n v="998150000"/>
    <n v="52590000"/>
    <n v="1.4109212042278214E-3"/>
    <n v="49"/>
    <x v="5"/>
    <n v="5.2679999999999998E-2"/>
    <x v="1"/>
    <x v="1"/>
    <n v="5.1835088064547868E-2"/>
    <x v="1"/>
    <n v="5.2158415841584156E-2"/>
    <n v="0.11409999999999999"/>
    <n v="4.728480387756933E-2"/>
    <n v="-0.01"/>
    <n v="4.0133333333333333E-2"/>
    <x v="2"/>
  </r>
  <r>
    <x v="50"/>
    <x v="50"/>
    <n v="7.3951000000000003E-2"/>
    <n v="6.9999999999999999E-4"/>
    <s v="39.46M"/>
    <n v="2813025"/>
    <s v="998.58T"/>
    <n v="998580000000000"/>
    <n v="39460000"/>
    <n v="2.8170251757495644E-9"/>
    <n v="50"/>
    <x v="5"/>
    <n v="7.3951000000000003E-2"/>
    <x v="0"/>
    <x v="1"/>
    <n v="7.3899270510642559E-2"/>
    <x v="1"/>
    <n v="7.3218811881188117E-2"/>
    <n v="4.8999999999999998E-3"/>
    <n v="7.3590407005672209E-2"/>
    <n v="-0.01"/>
    <n v="1.4666666666666671E-3"/>
    <x v="2"/>
  </r>
  <r>
    <x v="51"/>
    <x v="51"/>
    <n v="6.2120000000000003E-4"/>
    <n v="3.7000000000000002E-3"/>
    <s v="39.32M"/>
    <n v="7257215"/>
    <s v="63.28B"/>
    <n v="63280000000"/>
    <n v="39320000"/>
    <n v="1.1468418141592921E-4"/>
    <n v="51"/>
    <x v="5"/>
    <n v="6.2120000000000003E-4"/>
    <x v="1"/>
    <x v="1"/>
    <n v="6.1891003287835008E-4"/>
    <x v="1"/>
    <n v="6.1504950495049505E-4"/>
    <n v="2.5899999999999999E-2"/>
    <n v="6.0551710693050001E-4"/>
    <n v="-0.01"/>
    <n v="6.5333333333333328E-3"/>
    <x v="3"/>
  </r>
  <r>
    <x v="52"/>
    <x v="52"/>
    <n v="6.9010000000000002E-2"/>
    <n v="2E-3"/>
    <s v="39.21M"/>
    <n v="3201066"/>
    <s v="568.13M"/>
    <n v="568130000"/>
    <n v="39210000"/>
    <n v="5.634390016369493E-3"/>
    <n v="52"/>
    <x v="5"/>
    <n v="6.9010000000000002E-2"/>
    <x v="1"/>
    <x v="1"/>
    <n v="6.8872255489021955E-2"/>
    <x v="1"/>
    <n v="6.8326732673267332E-2"/>
    <n v="1.4E-2"/>
    <n v="6.8057199211045361E-2"/>
    <n v="-0.01"/>
    <n v="2E-3"/>
    <x v="2"/>
  </r>
  <r>
    <x v="53"/>
    <x v="53"/>
    <n v="7.5069999999999998E-2"/>
    <n v="1E-4"/>
    <s v="39.08M"/>
    <n v="10865606"/>
    <s v="520.55M"/>
    <n v="520549999.99999994"/>
    <n v="39080000"/>
    <n v="2.0873318605321298E-2"/>
    <n v="53"/>
    <x v="5"/>
    <n v="7.5069999999999998E-2"/>
    <x v="0"/>
    <x v="1"/>
    <n v="7.5062493750624931E-2"/>
    <x v="1"/>
    <n v="7.4326732673267323E-2"/>
    <n v="6.9999999999999999E-4"/>
    <n v="7.5017487758569007E-2"/>
    <n v="-0.01"/>
    <n v="3.0666666666666672E-3"/>
    <x v="2"/>
  </r>
  <r>
    <x v="54"/>
    <x v="54"/>
    <n v="6.615E-2"/>
    <n v="3.0999999999999999E-3"/>
    <s v="38.96M"/>
    <n v="8589175"/>
    <s v="589M"/>
    <n v="589000000"/>
    <n v="38960000"/>
    <n v="1.4582640067911715E-2"/>
    <n v="54"/>
    <x v="5"/>
    <n v="6.615E-2"/>
    <x v="0"/>
    <x v="1"/>
    <n v="6.5945568736915552E-2"/>
    <x v="1"/>
    <n v="6.5495049504950498E-2"/>
    <n v="2.1700000000000001E-2"/>
    <n v="6.4745032788489768E-2"/>
    <n v="-0.01"/>
    <n v="4.9333333333333338E-3"/>
    <x v="2"/>
  </r>
  <r>
    <x v="55"/>
    <x v="55"/>
    <n v="0.115"/>
    <n v="2.5000000000000001E-3"/>
    <s v="38.91M"/>
    <n v="9253493"/>
    <s v="338.17M"/>
    <n v="338170000"/>
    <n v="38910000"/>
    <n v="2.7363435550167077E-2"/>
    <n v="55"/>
    <x v="5"/>
    <n v="0.115"/>
    <x v="1"/>
    <x v="1"/>
    <n v="0.114713216957606"/>
    <x v="1"/>
    <n v="0.11386138613861387"/>
    <n v="1.7500000000000002E-2"/>
    <n v="0.11302211302211301"/>
    <n v="-0.01"/>
    <n v="3.333333333333334E-3"/>
    <x v="2"/>
  </r>
  <r>
    <x v="56"/>
    <x v="56"/>
    <n v="6.1265E-2"/>
    <n v="1.5900000000000001E-2"/>
    <s v="38.71M"/>
    <n v="9621783"/>
    <s v="305.92T"/>
    <n v="305920000000000"/>
    <n v="38710000"/>
    <n v="3.1451958028242675E-8"/>
    <n v="57"/>
    <x v="5"/>
    <n v="6.1265E-2"/>
    <x v="1"/>
    <x v="1"/>
    <n v="6.0306132493355646E-2"/>
    <x v="1"/>
    <n v="6.0658415841584157E-2"/>
    <n v="0.11130000000000001"/>
    <n v="5.51291280482318E-2"/>
    <n v="-0.01"/>
    <n v="3.9066666666666673E-2"/>
    <x v="2"/>
  </r>
  <r>
    <x v="57"/>
    <x v="57"/>
    <n v="8.8780000000000005E-3"/>
    <n v="1E-4"/>
    <s v="38.8M"/>
    <n v="3170357"/>
    <s v="4.37B"/>
    <n v="4370000000"/>
    <n v="38800000"/>
    <n v="7.2548215102974834E-4"/>
    <n v="56"/>
    <x v="5"/>
    <n v="8.8780000000000005E-3"/>
    <x v="0"/>
    <x v="1"/>
    <n v="8.8771122887711228E-3"/>
    <x v="1"/>
    <n v="8.7900990099009906E-3"/>
    <n v="6.9999999999999999E-4"/>
    <n v="8.871789747176978E-3"/>
    <n v="-0.01"/>
    <n v="3.0666666666666672E-3"/>
    <x v="3"/>
  </r>
  <r>
    <x v="58"/>
    <x v="58"/>
    <n v="1.243E-2"/>
    <n v="5.5999999999999999E-3"/>
    <s v="38.69M"/>
    <n v="85139946"/>
    <s v="3.11B"/>
    <n v="3110000000"/>
    <n v="38690000"/>
    <n v="2.73761884244373E-2"/>
    <n v="58"/>
    <x v="5"/>
    <n v="1.243E-2"/>
    <x v="1"/>
    <x v="1"/>
    <n v="1.2360779634049324E-2"/>
    <x v="1"/>
    <n v="1.2306930693069307E-2"/>
    <n v="3.9199999999999999E-2"/>
    <n v="1.1961123941493458E-2"/>
    <n v="-0.01"/>
    <n v="1.1599999999999999E-2"/>
    <x v="3"/>
  </r>
  <r>
    <x v="59"/>
    <x v="59"/>
    <n v="1.168E-3"/>
    <n v="1.5E-3"/>
    <s v="38.47M"/>
    <n v="5733599"/>
    <s v="32.91B"/>
    <n v="32909999999.999996"/>
    <n v="38470000"/>
    <n v="1.7422057125493772E-4"/>
    <n v="59"/>
    <x v="5"/>
    <n v="1.168E-3"/>
    <x v="0"/>
    <x v="1"/>
    <n v="1.166250624063904E-3"/>
    <x v="1"/>
    <n v="1.1564356435643565E-3"/>
    <n v="1.0500000000000001E-2"/>
    <n v="1.1558634339435922E-3"/>
    <n v="-0.01"/>
    <n v="6.6666666666666664E-4"/>
    <x v="3"/>
  </r>
  <r>
    <x v="60"/>
    <x v="60"/>
    <n v="1.7890000000000001E-4"/>
    <n v="2.2000000000000001E-3"/>
    <s v="30.7M"/>
    <n v="3509980"/>
    <s v="171.51B"/>
    <n v="171510000000"/>
    <n v="30700000"/>
    <n v="2.0465162381202263E-5"/>
    <n v="60"/>
    <x v="5"/>
    <n v="1.7890000000000001E-4"/>
    <x v="1"/>
    <x v="1"/>
    <n v="1.7850728397525445E-4"/>
    <x v="1"/>
    <n v="1.7712871287128715E-4"/>
    <n v="1.54E-2"/>
    <n v="1.7618672444356904E-4"/>
    <n v="-0.01"/>
    <n v="2.5333333333333336E-3"/>
    <x v="3"/>
  </r>
  <r>
    <x v="61"/>
    <x v="61"/>
    <n v="0.30680000000000002"/>
    <n v="2.9999999999999997E-4"/>
    <s v="30.69M"/>
    <n v="210995"/>
    <s v="100M"/>
    <n v="100000000"/>
    <n v="30690000"/>
    <n v="2.1099500000000002E-3"/>
    <n v="61"/>
    <x v="5"/>
    <n v="0.30680000000000002"/>
    <x v="1"/>
    <x v="1"/>
    <n v="0.30670798760371892"/>
    <x v="1"/>
    <n v="0.30376237623762375"/>
    <n v="2.0999999999999999E-3"/>
    <n v="0.3061570701526794"/>
    <n v="-0.01"/>
    <n v="2.5333333333333336E-3"/>
    <x v="2"/>
  </r>
  <r>
    <x v="62"/>
    <x v="62"/>
    <n v="10.119999999999999"/>
    <n v="0"/>
    <s v="30.64M"/>
    <n v="5"/>
    <s v="3.02M"/>
    <n v="3020000"/>
    <n v="30640000"/>
    <n v="1.6556291390728476E-6"/>
    <n v="62"/>
    <x v="4"/>
    <n v="10.119999999999999"/>
    <x v="1"/>
    <x v="1"/>
    <n v="10.119999999999999"/>
    <x v="0"/>
    <n v="10.01980198019802"/>
    <n v="0"/>
    <n v="10.119999999999999"/>
    <n v="-0.01"/>
    <n v="3.3333333333333335E-3"/>
    <x v="4"/>
  </r>
  <r>
    <x v="63"/>
    <x v="63"/>
    <n v="3.0040000000000001E-2"/>
    <n v="0"/>
    <s v="30.51M"/>
    <n v="6262"/>
    <s v="1.01B"/>
    <n v="1010000000"/>
    <n v="30510000"/>
    <n v="6.1999999999999999E-6"/>
    <n v="63"/>
    <x v="5"/>
    <n v="3.0040000000000001E-2"/>
    <x v="0"/>
    <x v="1"/>
    <n v="3.0040000000000001E-2"/>
    <x v="1"/>
    <n v="2.9742574257425745E-2"/>
    <n v="0"/>
    <n v="3.0040000000000001E-2"/>
    <n v="-0.01"/>
    <n v="3.3333333333333335E-3"/>
    <x v="3"/>
  </r>
  <r>
    <x v="64"/>
    <x v="64"/>
    <n v="9.2490000000000003E-2"/>
    <n v="1.0500000000000001E-2"/>
    <s v="30.36M"/>
    <n v="522065"/>
    <s v="328.21M"/>
    <n v="328210000"/>
    <n v="30360000"/>
    <n v="1.5906431857652112E-3"/>
    <n v="64"/>
    <x v="5"/>
    <n v="9.2490000000000003E-2"/>
    <x v="0"/>
    <x v="1"/>
    <n v="9.1528946066303823E-2"/>
    <x v="1"/>
    <n v="9.1574257425742572E-2"/>
    <n v="7.350000000000001E-2"/>
    <n v="8.615742897065673E-2"/>
    <n v="-0.01"/>
    <n v="2.466666666666667E-2"/>
    <x v="2"/>
  </r>
  <r>
    <x v="65"/>
    <x v="65"/>
    <n v="1.3990000000000001E-2"/>
    <n v="3.7000000000000002E-3"/>
    <s v="30.27M"/>
    <n v="1688495"/>
    <s v="2.16B"/>
    <n v="2160000000"/>
    <n v="30270000"/>
    <n v="7.8171064814814813E-4"/>
    <n v="65"/>
    <x v="5"/>
    <n v="1.3990000000000001E-2"/>
    <x v="1"/>
    <x v="1"/>
    <n v="1.3938427817076816E-2"/>
    <x v="1"/>
    <n v="1.3851485148514852E-2"/>
    <n v="2.5899999999999999E-2"/>
    <n v="1.3636806706306659E-2"/>
    <n v="-0.01"/>
    <n v="6.5333333333333328E-3"/>
    <x v="3"/>
  </r>
  <r>
    <x v="66"/>
    <x v="66"/>
    <n v="2.4150000000000001E-2"/>
    <n v="0"/>
    <s v="30.17M"/>
    <n v="151129"/>
    <s v="1.24B"/>
    <n v="1240000000"/>
    <n v="30170000"/>
    <n v="1.2187822580645161E-4"/>
    <n v="66"/>
    <x v="5"/>
    <n v="2.4150000000000001E-2"/>
    <x v="0"/>
    <x v="1"/>
    <n v="2.4150000000000001E-2"/>
    <x v="1"/>
    <n v="2.3910891089108911E-2"/>
    <n v="0"/>
    <n v="2.4150000000000001E-2"/>
    <n v="-0.01"/>
    <n v="3.3333333333333335E-3"/>
    <x v="3"/>
  </r>
  <r>
    <x v="67"/>
    <x v="67"/>
    <n v="72.7"/>
    <n v="1.4E-3"/>
    <s v="30.14M"/>
    <n v="3095757"/>
    <s v="414.49K"/>
    <n v="414490"/>
    <n v="30140000"/>
    <n v="7.4688339887572681"/>
    <n v="67"/>
    <x v="4"/>
    <n v="72.7"/>
    <x v="0"/>
    <x v="0"/>
    <n v="72.598362292790085"/>
    <x v="0"/>
    <n v="71.980198019801989"/>
    <n v="9.7999999999999997E-3"/>
    <n v="71.994454347395518"/>
    <n v="-0.01"/>
    <n v="3.9999999999999991E-4"/>
    <x v="0"/>
  </r>
  <r>
    <x v="68"/>
    <x v="68"/>
    <n v="0.37680000000000002"/>
    <n v="2.9999999999999997E-4"/>
    <s v="30.13M"/>
    <n v="8862"/>
    <s v="79.95M"/>
    <n v="79950000"/>
    <n v="30130000"/>
    <n v="1.1084427767354597E-4"/>
    <n v="68"/>
    <x v="5"/>
    <n v="0.37680000000000002"/>
    <x v="1"/>
    <x v="1"/>
    <n v="0.37668699390182947"/>
    <x v="1"/>
    <n v="0.37306930693069307"/>
    <n v="2.0999999999999999E-3"/>
    <n v="0.37601037820576794"/>
    <n v="-0.01"/>
    <n v="2.5333333333333336E-3"/>
    <x v="2"/>
  </r>
  <r>
    <x v="69"/>
    <x v="69"/>
    <n v="5.577E-2"/>
    <n v="1.4E-3"/>
    <s v="30.06M"/>
    <n v="25097317"/>
    <s v="538.94M"/>
    <n v="538940000"/>
    <n v="30060000"/>
    <n v="4.6567924073180687E-2"/>
    <n v="69"/>
    <x v="5"/>
    <n v="5.577E-2"/>
    <x v="1"/>
    <x v="1"/>
    <n v="5.5692031156381064E-2"/>
    <x v="1"/>
    <n v="5.5217821782178218E-2"/>
    <n v="9.7999999999999997E-3"/>
    <n v="5.5228758169934639E-2"/>
    <n v="-0.01"/>
    <n v="3.9999999999999991E-4"/>
    <x v="2"/>
  </r>
  <r>
    <x v="70"/>
    <x v="70"/>
    <n v="8.9990000000000001E-2"/>
    <n v="1E-3"/>
    <s v="24.15M"/>
    <n v="5008209"/>
    <s v="268.33M"/>
    <n v="268329999.99999997"/>
    <n v="24150000"/>
    <n v="1.8664364774717699E-2"/>
    <n v="70"/>
    <x v="5"/>
    <n v="8.9990000000000001E-2"/>
    <x v="1"/>
    <x v="1"/>
    <n v="8.9900099900099908E-2"/>
    <x v="1"/>
    <n v="8.9099009900990095E-2"/>
    <n v="7.0000000000000001E-3"/>
    <n v="8.936444885799405E-2"/>
    <n v="-0.01"/>
    <n v="6.6666666666666697E-4"/>
    <x v="2"/>
  </r>
  <r>
    <x v="71"/>
    <x v="71"/>
    <n v="4.4650000000000002E-2"/>
    <n v="3.1300000000000001E-2"/>
    <s v="23.98M"/>
    <n v="8545079"/>
    <s v="537M"/>
    <n v="537000000"/>
    <n v="23980000"/>
    <n v="1.591262383612663E-2"/>
    <n v="71"/>
    <x v="5"/>
    <n v="4.4650000000000002E-2"/>
    <x v="0"/>
    <x v="1"/>
    <n v="4.329487055173082E-2"/>
    <x v="1"/>
    <n v="4.4207920792079212E-2"/>
    <n v="0.21910000000000002"/>
    <n v="3.6625379378229843E-2"/>
    <n v="-0.01"/>
    <n v="8.0133333333333334E-2"/>
    <x v="3"/>
  </r>
  <r>
    <x v="72"/>
    <x v="72"/>
    <n v="0.16589999999999999"/>
    <n v="2.8899999999999999E-2"/>
    <s v="23.94M"/>
    <n v="6562097"/>
    <s v="144.27M"/>
    <n v="144270000"/>
    <n v="23940000"/>
    <n v="4.5484833991820892E-2"/>
    <n v="72"/>
    <x v="5"/>
    <n v="0.16589999999999999"/>
    <x v="0"/>
    <x v="1"/>
    <n v="0.16124015939352707"/>
    <x v="1"/>
    <n v="0.16425742574257424"/>
    <n v="0.20229999999999998"/>
    <n v="0.1379855277385012"/>
    <n v="-0.01"/>
    <n v="7.3733333333333331E-2"/>
    <x v="2"/>
  </r>
  <r>
    <x v="73"/>
    <x v="73"/>
    <n v="2.4510000000000001E-2"/>
    <n v="1E-4"/>
    <s v="23.92M"/>
    <n v="212975"/>
    <s v="975.55M"/>
    <n v="975550000"/>
    <n v="23920000"/>
    <n v="2.1831274665573265E-4"/>
    <n v="73"/>
    <x v="5"/>
    <n v="2.4510000000000001E-2"/>
    <x v="1"/>
    <x v="1"/>
    <n v="2.4507549245075495E-2"/>
    <x v="1"/>
    <n v="2.4267326732673268E-2"/>
    <n v="6.9999999999999999E-4"/>
    <n v="2.4492855001498955E-2"/>
    <n v="-0.01"/>
    <n v="3.0666666666666672E-3"/>
    <x v="3"/>
  </r>
  <r>
    <x v="74"/>
    <x v="74"/>
    <n v="8.226E-2"/>
    <n v="5.1999999999999998E-3"/>
    <s v="23.91M"/>
    <n v="6936081"/>
    <s v="290.64M"/>
    <n v="290640000"/>
    <n v="23910000"/>
    <n v="2.3864853426919901E-2"/>
    <n v="74"/>
    <x v="5"/>
    <n v="8.226E-2"/>
    <x v="0"/>
    <x v="1"/>
    <n v="8.1834460803820133E-2"/>
    <x v="1"/>
    <n v="8.1445544554455448E-2"/>
    <n v="3.6400000000000002E-2"/>
    <n v="7.9370899266692399E-2"/>
    <n v="-0.01"/>
    <n v="1.0533333333333334E-2"/>
    <x v="2"/>
  </r>
  <r>
    <x v="75"/>
    <x v="75"/>
    <n v="0.10340000000000001"/>
    <n v="3.0999999999999999E-3"/>
    <s v="23.82M"/>
    <n v="901419"/>
    <s v="230.25M"/>
    <n v="230250000"/>
    <n v="23820000"/>
    <n v="3.9149576547231274E-3"/>
    <n v="75"/>
    <x v="5"/>
    <n v="0.10340000000000001"/>
    <x v="0"/>
    <x v="1"/>
    <n v="0.10308045060313029"/>
    <x v="1"/>
    <n v="0.10237623762376238"/>
    <n v="2.1700000000000001E-2"/>
    <n v="0.10120387589311931"/>
    <n v="-0.01"/>
    <n v="4.9333333333333338E-3"/>
    <x v="2"/>
  </r>
  <r>
    <x v="76"/>
    <x v="76"/>
    <n v="9.5010000000000008E-3"/>
    <n v="3.2000000000000002E-3"/>
    <s v="23.75M"/>
    <n v="3276003"/>
    <s v="2.5B"/>
    <n v="2500000000"/>
    <n v="23750000"/>
    <n v="1.3104012E-3"/>
    <n v="76"/>
    <x v="5"/>
    <n v="9.5010000000000008E-3"/>
    <x v="0"/>
    <x v="1"/>
    <n v="9.4706937799043066E-3"/>
    <x v="1"/>
    <n v="9.4069306930693077E-3"/>
    <n v="2.24E-2"/>
    <n v="9.2928403755868551E-3"/>
    <n v="-0.01"/>
    <n v="5.1999999999999998E-3"/>
    <x v="3"/>
  </r>
  <r>
    <x v="77"/>
    <x v="77"/>
    <n v="3.2829999999999999E-3"/>
    <n v="1.5E-3"/>
    <s v="23.75M"/>
    <n v="1504867"/>
    <s v="7.23B"/>
    <n v="7230000000"/>
    <n v="23750000"/>
    <n v="2.0814204702627938E-4"/>
    <n v="76"/>
    <x v="5"/>
    <n v="3.2829999999999999E-3"/>
    <x v="1"/>
    <x v="1"/>
    <n v="3.2780828756864698E-3"/>
    <x v="1"/>
    <n v="3.2504950495049504E-3"/>
    <n v="1.0500000000000001E-2"/>
    <n v="3.2488866897575457E-3"/>
    <n v="-0.01"/>
    <n v="6.6666666666666664E-4"/>
    <x v="3"/>
  </r>
  <r>
    <x v="78"/>
    <x v="78"/>
    <n v="3.039E-3"/>
    <n v="1E-4"/>
    <s v="23.72M"/>
    <n v="3982328"/>
    <s v="7.8B"/>
    <n v="7800000000"/>
    <n v="23720000"/>
    <n v="5.1055487179487184E-4"/>
    <n v="78"/>
    <x v="5"/>
    <n v="3.039E-3"/>
    <x v="0"/>
    <x v="1"/>
    <n v="3.0386961303869612E-3"/>
    <x v="1"/>
    <n v="3.0089108910891088E-3"/>
    <n v="6.9999999999999999E-4"/>
    <n v="3.0368741880683523E-3"/>
    <n v="-0.01"/>
    <n v="3.0666666666666672E-3"/>
    <x v="3"/>
  </r>
  <r>
    <x v="79"/>
    <x v="79"/>
    <n v="0.72040000000000004"/>
    <n v="1.6000000000000001E-3"/>
    <s v="23.68M"/>
    <n v="43268"/>
    <s v="32.87M"/>
    <n v="32869999.999999996"/>
    <n v="23680000"/>
    <n v="1.3163370854882873E-3"/>
    <n v="79"/>
    <x v="2"/>
    <n v="0.72040000000000004"/>
    <x v="1"/>
    <x v="1"/>
    <n v="0.71924920127795533"/>
    <x v="1"/>
    <n v="0.71326732673267335"/>
    <n v="1.12E-2"/>
    <n v="0.71242088607594933"/>
    <n v="-0.01"/>
    <n v="9.3333333333333343E-4"/>
    <x v="1"/>
  </r>
  <r>
    <x v="80"/>
    <x v="80"/>
    <n v="0.1961"/>
    <n v="1.9E-3"/>
    <s v="18.18M"/>
    <n v="1005056"/>
    <s v="92.7M"/>
    <n v="92700000"/>
    <n v="18180000"/>
    <n v="1.084202804746494E-2"/>
    <n v="80"/>
    <x v="5"/>
    <n v="0.1961"/>
    <x v="0"/>
    <x v="1"/>
    <n v="0.19572811657850084"/>
    <x v="1"/>
    <n v="0.19415841584158416"/>
    <n v="1.3299999999999999E-2"/>
    <n v="0.19352610283232999"/>
    <n v="-0.01"/>
    <n v="1.7333333333333333E-3"/>
    <x v="2"/>
  </r>
  <r>
    <x v="81"/>
    <x v="81"/>
    <n v="1.18"/>
    <n v="1.6500000000000001E-2"/>
    <s v="18.14M"/>
    <n v="40433535"/>
    <s v="15.28M"/>
    <n v="15280000"/>
    <n v="18140000"/>
    <n v="2.6461737565445027"/>
    <n v="81"/>
    <x v="3"/>
    <n v="1.18"/>
    <x v="1"/>
    <x v="1"/>
    <n v="1.1608460403344811"/>
    <x v="1"/>
    <n v="1.1683168316831682"/>
    <n v="0.11550000000000001"/>
    <n v="1.0578216046615867"/>
    <n v="-0.01"/>
    <n v="4.066666666666667E-2"/>
    <x v="1"/>
  </r>
  <r>
    <x v="82"/>
    <x v="82"/>
    <n v="1.4749999999999999E-2"/>
    <n v="1.8E-3"/>
    <s v="18.12M"/>
    <n v="4471482"/>
    <s v="1.22B"/>
    <n v="1220000000"/>
    <n v="18120000"/>
    <n v="3.6651491803278689E-3"/>
    <n v="82"/>
    <x v="5"/>
    <n v="1.4749999999999999E-2"/>
    <x v="0"/>
    <x v="1"/>
    <n v="1.472349770413256E-2"/>
    <x v="1"/>
    <n v="1.4603960396039603E-2"/>
    <n v="1.26E-2"/>
    <n v="1.4566462571597867E-2"/>
    <n v="-0.01"/>
    <n v="1.4666666666666665E-3"/>
    <x v="3"/>
  </r>
  <r>
    <x v="83"/>
    <x v="83"/>
    <n v="8.4150000000000003E-2"/>
    <n v="9.1000000000000004E-3"/>
    <s v="18.09M"/>
    <n v="8197930"/>
    <s v="215M"/>
    <n v="215000000"/>
    <n v="18090000"/>
    <n v="3.8129906976744184E-2"/>
    <n v="83"/>
    <x v="5"/>
    <n v="8.4150000000000003E-2"/>
    <x v="1"/>
    <x v="1"/>
    <n v="8.339114062035477E-2"/>
    <x v="1"/>
    <n v="8.3316831683168321E-2"/>
    <n v="6.3700000000000007E-2"/>
    <n v="7.9110651499482931E-2"/>
    <n v="-0.01"/>
    <n v="2.0933333333333335E-2"/>
    <x v="2"/>
  </r>
  <r>
    <x v="84"/>
    <x v="84"/>
    <n v="8.6059999999999998E-2"/>
    <n v="3.3E-3"/>
    <s v="18.07M"/>
    <n v="1345010"/>
    <s v="210M"/>
    <n v="210000000"/>
    <n v="18070000"/>
    <n v="6.4048095238095236E-3"/>
    <n v="84"/>
    <x v="5"/>
    <n v="8.6059999999999998E-2"/>
    <x v="1"/>
    <x v="1"/>
    <n v="8.5776936110834243E-2"/>
    <x v="1"/>
    <n v="8.52079207920792E-2"/>
    <n v="2.3099999999999999E-2"/>
    <n v="8.4116899618805599E-2"/>
    <n v="-0.01"/>
    <n v="5.4666666666666657E-3"/>
    <x v="2"/>
  </r>
  <r>
    <x v="85"/>
    <x v="85"/>
    <n v="0.1694"/>
    <n v="0.1172"/>
    <s v="18.06M"/>
    <n v="7861945"/>
    <s v="106.62M"/>
    <n v="106620000"/>
    <n v="18060000"/>
    <n v="7.3737994747702124E-2"/>
    <n v="85"/>
    <x v="5"/>
    <n v="0.1694"/>
    <x v="1"/>
    <x v="1"/>
    <n v="0.15162907268170425"/>
    <x v="1"/>
    <n v="0.16772277227722771"/>
    <n v="0.82040000000000002"/>
    <n v="9.3056471105251587E-2"/>
    <n v="-0.01"/>
    <n v="0.30919999999999997"/>
    <x v="2"/>
  </r>
  <r>
    <x v="86"/>
    <x v="86"/>
    <n v="7.8320000000000001E-2"/>
    <n v="4.1000000000000003E-3"/>
    <s v="17.93M"/>
    <n v="5784916"/>
    <s v="228.98M"/>
    <n v="228980000"/>
    <n v="17930000"/>
    <n v="2.5263848371036773E-2"/>
    <n v="86"/>
    <x v="5"/>
    <n v="7.8320000000000001E-2"/>
    <x v="1"/>
    <x v="1"/>
    <n v="7.8000199183348273E-2"/>
    <x v="1"/>
    <n v="7.7544554455445544E-2"/>
    <n v="2.8700000000000003E-2"/>
    <n v="7.613492757849713E-2"/>
    <n v="-0.01"/>
    <n v="7.6000000000000017E-3"/>
    <x v="2"/>
  </r>
  <r>
    <x v="87"/>
    <x v="87"/>
    <n v="1.059E-3"/>
    <n v="2.3E-2"/>
    <s v="17.66M"/>
    <n v="2845"/>
    <s v="16.67B"/>
    <n v="16670000000.000002"/>
    <n v="17660000"/>
    <n v="1.7066586682663466E-7"/>
    <n v="87"/>
    <x v="5"/>
    <n v="1.059E-3"/>
    <x v="1"/>
    <x v="1"/>
    <n v="1.0351906158357772E-3"/>
    <x v="1"/>
    <n v="1.0485148514851486E-3"/>
    <n v="0.161"/>
    <n v="9.1214470284237722E-4"/>
    <n v="-0.01"/>
    <n v="5.8000000000000003E-2"/>
    <x v="3"/>
  </r>
  <r>
    <x v="88"/>
    <x v="88"/>
    <n v="0.12509999999999999"/>
    <n v="1.12E-2"/>
    <s v="17.62M"/>
    <n v="11989043"/>
    <s v="140.84M"/>
    <n v="140840000"/>
    <n v="17620000"/>
    <n v="8.5125269809713147E-2"/>
    <n v="88"/>
    <x v="5"/>
    <n v="0.12509999999999999"/>
    <x v="1"/>
    <x v="1"/>
    <n v="0.12371439873417719"/>
    <x v="1"/>
    <n v="0.12386138613861385"/>
    <n v="7.8399999999999997E-2"/>
    <n v="0.11600519287833827"/>
    <n v="-0.01"/>
    <n v="2.6533333333333336E-2"/>
    <x v="2"/>
  </r>
  <r>
    <x v="89"/>
    <x v="89"/>
    <n v="1.762E-2"/>
    <n v="7.1999999999999998E-3"/>
    <s v="17.62M"/>
    <n v="3887797"/>
    <s v="999.99M"/>
    <n v="999990000"/>
    <n v="17620000"/>
    <n v="3.8878358783587838E-3"/>
    <n v="88"/>
    <x v="5"/>
    <n v="1.762E-2"/>
    <x v="1"/>
    <x v="1"/>
    <n v="1.7494042891183479E-2"/>
    <x v="1"/>
    <n v="1.7445544554455447E-2"/>
    <n v="5.04E-2"/>
    <n v="1.6774562071591774E-2"/>
    <n v="-0.01"/>
    <n v="1.5866666666666668E-2"/>
    <x v="3"/>
  </r>
  <r>
    <x v="90"/>
    <x v="90"/>
    <n v="1.3359999999999999E-4"/>
    <n v="3.8300000000000001E-2"/>
    <s v="13.74M"/>
    <n v="111960"/>
    <s v="102.77B"/>
    <n v="102770000000"/>
    <n v="13740000"/>
    <n v="1.0894229833609029E-6"/>
    <n v="91"/>
    <x v="5"/>
    <n v="1.3359999999999999E-4"/>
    <x v="1"/>
    <x v="1"/>
    <n v="1.2867186747568139E-4"/>
    <x v="1"/>
    <n v="1.3227722772277226E-4"/>
    <n v="0.2681"/>
    <n v="1.0535446731330336E-4"/>
    <n v="-0.01"/>
    <n v="9.8799999999999999E-2"/>
    <x v="3"/>
  </r>
  <r>
    <x v="91"/>
    <x v="91"/>
    <n v="0.13850000000000001"/>
    <n v="6.7000000000000002E-3"/>
    <s v="13.69M"/>
    <n v="31685843"/>
    <s v="98.79M"/>
    <n v="98790000"/>
    <n v="13690000"/>
    <n v="0.32073937645510681"/>
    <n v="92"/>
    <x v="5"/>
    <n v="0.13850000000000001"/>
    <x v="1"/>
    <x v="1"/>
    <n v="0.13757822588656007"/>
    <x v="1"/>
    <n v="0.13712871287128714"/>
    <n v="4.6900000000000004E-2"/>
    <n v="0.13229534817078997"/>
    <n v="-0.01"/>
    <n v="1.4533333333333336E-2"/>
    <x v="2"/>
  </r>
  <r>
    <x v="92"/>
    <x v="92"/>
    <n v="217.14"/>
    <n v="0"/>
    <s v="13.68M"/>
    <n v="615356"/>
    <s v="63.01K"/>
    <n v="63010"/>
    <n v="13680000"/>
    <n v="9.7660053959688931"/>
    <n v="93"/>
    <x v="0"/>
    <n v="217.14"/>
    <x v="1"/>
    <x v="0"/>
    <n v="217.14"/>
    <x v="0"/>
    <n v="214.99009900990097"/>
    <n v="0"/>
    <n v="217.14"/>
    <n v="-0.01"/>
    <n v="3.3333333333333335E-3"/>
    <x v="0"/>
  </r>
  <r>
    <x v="93"/>
    <x v="93"/>
    <n v="5.4140000000000001E-2"/>
    <n v="6.1000000000000004E-3"/>
    <s v="13.68M"/>
    <n v="3115828"/>
    <s v="252.59M"/>
    <n v="252590000"/>
    <n v="13680000"/>
    <n v="1.2335516053683835E-2"/>
    <n v="93"/>
    <x v="5"/>
    <n v="5.4140000000000001E-2"/>
    <x v="1"/>
    <x v="1"/>
    <n v="5.3811748335155549E-2"/>
    <x v="1"/>
    <n v="5.3603960396039603E-2"/>
    <n v="4.2700000000000002E-2"/>
    <n v="5.1922892490649276E-2"/>
    <n v="-0.01"/>
    <n v="1.2933333333333333E-2"/>
    <x v="2"/>
  </r>
  <r>
    <x v="94"/>
    <x v="94"/>
    <n v="201.76"/>
    <n v="2.9999999999999997E-4"/>
    <s v="13.65M"/>
    <n v="298"/>
    <s v="67.64K"/>
    <n v="67640"/>
    <n v="13650000"/>
    <n v="4.4056771141336489E-3"/>
    <n v="95"/>
    <x v="0"/>
    <n v="201.76"/>
    <x v="0"/>
    <x v="0"/>
    <n v="201.6994901529541"/>
    <x v="0"/>
    <n v="199.76237623762376"/>
    <n v="2.0999999999999999E-3"/>
    <n v="201.33719189701625"/>
    <n v="-0.01"/>
    <n v="2.5333333333333336E-3"/>
    <x v="0"/>
  </r>
  <r>
    <x v="95"/>
    <x v="95"/>
    <n v="0.1079"/>
    <n v="2.9999999999999997E-4"/>
    <s v="13.62M"/>
    <n v="131726"/>
    <s v="126.16M"/>
    <n v="126160000"/>
    <n v="13620000"/>
    <n v="1.0441185795814838E-3"/>
    <n v="96"/>
    <x v="5"/>
    <n v="0.1079"/>
    <x v="1"/>
    <x v="1"/>
    <n v="0.10786763970808758"/>
    <x v="1"/>
    <n v="0.10683168316831683"/>
    <n v="2.0999999999999999E-3"/>
    <n v="0.10767388484183214"/>
    <n v="-0.01"/>
    <n v="2.5333333333333336E-3"/>
    <x v="2"/>
  </r>
  <r>
    <x v="96"/>
    <x v="96"/>
    <n v="7.0000000000000001E-3"/>
    <n v="1.4E-3"/>
    <s v="13.59M"/>
    <n v="2791719"/>
    <s v="1.94B"/>
    <n v="1940000000"/>
    <n v="13590000"/>
    <n v="1.439030412371134E-3"/>
    <n v="97"/>
    <x v="5"/>
    <n v="7.0000000000000001E-3"/>
    <x v="0"/>
    <x v="1"/>
    <n v="6.9902137008188529E-3"/>
    <x v="1"/>
    <n v="6.9306930693069308E-3"/>
    <n v="9.7999999999999997E-3"/>
    <n v="6.9320657555951674E-3"/>
    <n v="-0.01"/>
    <n v="3.9999999999999991E-4"/>
    <x v="3"/>
  </r>
  <r>
    <x v="97"/>
    <x v="97"/>
    <n v="2.6339999999999999E-2"/>
    <n v="3.5000000000000001E-3"/>
    <s v="13.59M"/>
    <n v="490740"/>
    <s v="515.73M"/>
    <n v="515730000"/>
    <n v="13590000"/>
    <n v="9.5154441277412599E-4"/>
    <n v="97"/>
    <x v="5"/>
    <n v="2.6339999999999999E-2"/>
    <x v="1"/>
    <x v="1"/>
    <n v="2.6248131539611357E-2"/>
    <x v="1"/>
    <n v="2.6079207920792078E-2"/>
    <n v="2.4500000000000001E-2"/>
    <n v="2.5710102489019032E-2"/>
    <n v="-0.01"/>
    <n v="6.000000000000001E-3"/>
    <x v="3"/>
  </r>
  <r>
    <x v="98"/>
    <x v="98"/>
    <n v="2.7519999999999999E-2"/>
    <n v="3.7000000000000002E-3"/>
    <s v="13.59M"/>
    <n v="4350968"/>
    <s v="493.58M"/>
    <n v="493580000"/>
    <n v="13590000"/>
    <n v="8.8151221686454066E-3"/>
    <n v="97"/>
    <x v="5"/>
    <n v="2.7519999999999999E-2"/>
    <x v="0"/>
    <x v="1"/>
    <n v="2.7418551359968117E-2"/>
    <x v="1"/>
    <n v="2.7247524752475247E-2"/>
    <n v="2.5899999999999999E-2"/>
    <n v="2.6825226630275853E-2"/>
    <n v="-0.01"/>
    <n v="6.5333333333333328E-3"/>
    <x v="3"/>
  </r>
  <r>
    <x v="99"/>
    <x v="99"/>
    <n v="8.0710000000000004E-2"/>
    <n v="1.1000000000000001E-3"/>
    <s v="13.55M"/>
    <n v="458524"/>
    <s v="167.84M"/>
    <n v="167840000"/>
    <n v="13550000"/>
    <n v="2.7319113441372734E-3"/>
    <n v="100"/>
    <x v="5"/>
    <n v="8.0710000000000004E-2"/>
    <x v="1"/>
    <x v="1"/>
    <n v="8.0621316551793026E-2"/>
    <x v="1"/>
    <n v="7.9910891089108912E-2"/>
    <n v="7.7000000000000002E-3"/>
    <n v="8.0093281730673815E-2"/>
    <n v="-0.01"/>
    <n v="3.9999999999999991E-4"/>
    <x v="2"/>
  </r>
  <r>
    <x v="100"/>
    <x v="100"/>
    <n v="0.1552"/>
    <n v="3.5999999999999999E-3"/>
    <s v="10.83M"/>
    <n v="1625193"/>
    <s v="69.78M"/>
    <n v="69780000"/>
    <n v="10830000"/>
    <n v="2.3290240756663801E-2"/>
    <n v="101"/>
    <x v="5"/>
    <n v="0.1552"/>
    <x v="0"/>
    <x v="1"/>
    <n v="0.15464328417696294"/>
    <x v="1"/>
    <n v="0.15366336633663366"/>
    <n v="2.52E-2"/>
    <n v="0.15138509559110419"/>
    <n v="-0.01"/>
    <n v="6.2666666666666669E-3"/>
    <x v="2"/>
  </r>
  <r>
    <x v="101"/>
    <x v="101"/>
    <n v="3.1930000000000001E-5"/>
    <n v="6.7000000000000002E-3"/>
    <s v="10.79M"/>
    <n v="439089"/>
    <s v="337.89B"/>
    <n v="337890000000"/>
    <n v="10790000"/>
    <n v="1.299502796768179E-6"/>
    <n v="102"/>
    <x v="5"/>
    <n v="3.1930000000000001E-5"/>
    <x v="0"/>
    <x v="1"/>
    <n v="3.1717492798251717E-5"/>
    <x v="1"/>
    <n v="3.1613861386138616E-5"/>
    <n v="4.6900000000000004E-2"/>
    <n v="3.0499570159518581E-5"/>
    <n v="-0.01"/>
    <n v="1.4533333333333336E-2"/>
    <x v="3"/>
  </r>
  <r>
    <x v="102"/>
    <x v="102"/>
    <n v="0.35859999999999997"/>
    <n v="1E-4"/>
    <s v="10.78M"/>
    <n v="157215"/>
    <s v="30.06M"/>
    <n v="30060000"/>
    <n v="10780000"/>
    <n v="5.2300399201596808E-3"/>
    <n v="103"/>
    <x v="5"/>
    <n v="0.35859999999999997"/>
    <x v="0"/>
    <x v="1"/>
    <n v="0.35856414358564143"/>
    <x v="1"/>
    <n v="0.35504950495049503"/>
    <n v="6.9999999999999999E-4"/>
    <n v="0.35834915559108627"/>
    <n v="-0.01"/>
    <n v="3.0666666666666672E-3"/>
    <x v="2"/>
  </r>
  <r>
    <x v="103"/>
    <x v="103"/>
    <n v="195.59"/>
    <n v="1.6999999999999999E-3"/>
    <s v="10.77M"/>
    <n v="3076178"/>
    <s v="55.06K"/>
    <n v="55060"/>
    <n v="10770000"/>
    <n v="55.869560479476931"/>
    <n v="104"/>
    <x v="0"/>
    <n v="195.59"/>
    <x v="0"/>
    <x v="0"/>
    <n v="195.25806129579715"/>
    <x v="0"/>
    <n v="193.65346534653466"/>
    <n v="1.1899999999999999E-2"/>
    <n v="193.28985077576834"/>
    <n v="-0.01"/>
    <n v="1.1999999999999997E-3"/>
    <x v="0"/>
  </r>
  <r>
    <x v="104"/>
    <x v="104"/>
    <n v="85.03"/>
    <n v="6.9999999999999999E-4"/>
    <s v="10.77M"/>
    <n v="20"/>
    <s v="126.6K"/>
    <n v="126600"/>
    <n v="10770000"/>
    <n v="1.579778830963665E-4"/>
    <n v="104"/>
    <x v="4"/>
    <n v="85.03"/>
    <x v="0"/>
    <x v="0"/>
    <n v="84.970520635555118"/>
    <x v="0"/>
    <n v="84.188118811881182"/>
    <n v="4.8999999999999998E-3"/>
    <n v="84.615384615384627"/>
    <n v="-0.01"/>
    <n v="1.4666666666666671E-3"/>
    <x v="0"/>
  </r>
  <r>
    <x v="105"/>
    <x v="105"/>
    <n v="1.678E-2"/>
    <n v="9.1000000000000004E-3"/>
    <s v="10.64M"/>
    <n v="838362"/>
    <s v="634.27M"/>
    <n v="634270000"/>
    <n v="10640000"/>
    <n v="1.3217746385608652E-3"/>
    <n v="106"/>
    <x v="5"/>
    <n v="1.678E-2"/>
    <x v="1"/>
    <x v="1"/>
    <n v="1.6628679020909719E-2"/>
    <x v="1"/>
    <n v="1.6613861386138615E-2"/>
    <n v="6.3700000000000007E-2"/>
    <n v="1.5775124565196953E-2"/>
    <n v="-0.01"/>
    <n v="2.0933333333333335E-2"/>
    <x v="3"/>
  </r>
  <r>
    <x v="106"/>
    <x v="106"/>
    <n v="0.49840000000000001"/>
    <n v="9.1999999999999998E-3"/>
    <s v="10.63M"/>
    <n v="4601298"/>
    <s v="21.33M"/>
    <n v="21330000"/>
    <n v="10630000"/>
    <n v="0.21571954992967651"/>
    <n v="107"/>
    <x v="5"/>
    <n v="0.49840000000000001"/>
    <x v="0"/>
    <x v="1"/>
    <n v="0.49385652001585412"/>
    <x v="1"/>
    <n v="0.49346534653465346"/>
    <n v="6.4399999999999999E-2"/>
    <n v="0.46824502066892149"/>
    <n v="-0.01"/>
    <n v="2.12E-2"/>
    <x v="2"/>
  </r>
  <r>
    <x v="107"/>
    <x v="107"/>
    <n v="1.32"/>
    <n v="3.3E-3"/>
    <s v="10.61M"/>
    <n v="16003151"/>
    <s v="7.97M"/>
    <n v="7970000"/>
    <n v="10610000"/>
    <n v="2.0079235884567126"/>
    <n v="108"/>
    <x v="3"/>
    <n v="1.32"/>
    <x v="1"/>
    <x v="1"/>
    <n v="1.3156583275191867"/>
    <x v="1"/>
    <n v="1.306930693069307"/>
    <n v="2.3099999999999999E-2"/>
    <n v="1.2901964617339461"/>
    <n v="-0.01"/>
    <n v="5.4666666666666657E-3"/>
    <x v="1"/>
  </r>
  <r>
    <x v="108"/>
    <x v="108"/>
    <n v="3.5349999999999999E-3"/>
    <n v="3.2000000000000002E-3"/>
    <s v="10.61M"/>
    <n v="624500"/>
    <s v="3B"/>
    <n v="3000000000"/>
    <n v="10610000"/>
    <n v="2.0816666666666667E-4"/>
    <n v="108"/>
    <x v="5"/>
    <n v="3.5349999999999999E-3"/>
    <x v="0"/>
    <x v="1"/>
    <n v="3.523724082934609E-3"/>
    <x v="1"/>
    <n v="3.5000000000000001E-3"/>
    <n v="2.24E-2"/>
    <n v="3.4575508607198749E-3"/>
    <n v="-0.01"/>
    <n v="5.1999999999999998E-3"/>
    <x v="3"/>
  </r>
  <r>
    <x v="109"/>
    <x v="109"/>
    <n v="1.366E-3"/>
    <n v="0"/>
    <s v="8.2M"/>
    <n v="37378"/>
    <s v="6B"/>
    <n v="6000000000"/>
    <n v="8200000"/>
    <n v="6.2296666666666664E-6"/>
    <n v="110"/>
    <x v="5"/>
    <n v="1.366E-3"/>
    <x v="1"/>
    <x v="1"/>
    <n v="1.366E-3"/>
    <x v="1"/>
    <n v="1.3524752475247525E-3"/>
    <n v="0"/>
    <n v="1.366E-3"/>
    <n v="-0.01"/>
    <n v="3.3333333333333335E-3"/>
    <x v="3"/>
  </r>
  <r>
    <x v="110"/>
    <x v="110"/>
    <n v="3.0339999999999999E-2"/>
    <n v="2.7000000000000001E-3"/>
    <s v="8.18M"/>
    <n v="1026059"/>
    <s v="269.48M"/>
    <n v="269480000"/>
    <n v="8180000"/>
    <n v="3.8075515808223244E-3"/>
    <n v="111"/>
    <x v="5"/>
    <n v="3.0339999999999999E-2"/>
    <x v="0"/>
    <x v="1"/>
    <n v="3.025830258302583E-2"/>
    <x v="1"/>
    <n v="3.0039603960396039E-2"/>
    <n v="1.89E-2"/>
    <n v="2.977721071744038E-2"/>
    <n v="-0.01"/>
    <n v="3.8666666666666663E-3"/>
    <x v="3"/>
  </r>
  <r>
    <x v="111"/>
    <x v="111"/>
    <n v="4.3270000000000003E-2"/>
    <n v="8.0000000000000004E-4"/>
    <s v="8.14M"/>
    <n v="131873"/>
    <s v="188.01M"/>
    <n v="188010000"/>
    <n v="8140000"/>
    <n v="7.0141481836072546E-4"/>
    <n v="112"/>
    <x v="5"/>
    <n v="4.3270000000000003E-2"/>
    <x v="1"/>
    <x v="1"/>
    <n v="4.3235411670663478E-2"/>
    <x v="1"/>
    <n v="4.2841584158415845E-2"/>
    <n v="5.5999999999999999E-3"/>
    <n v="4.3029037390612569E-2"/>
    <n v="-0.01"/>
    <n v="1.1999999999999999E-3"/>
    <x v="3"/>
  </r>
  <r>
    <x v="112"/>
    <x v="112"/>
    <n v="1.719E-3"/>
    <n v="1.8E-3"/>
    <s v="8.12M"/>
    <n v="849551"/>
    <s v="4.72B"/>
    <n v="4720000000"/>
    <n v="8120000"/>
    <n v="1.799896186440678E-4"/>
    <n v="113"/>
    <x v="5"/>
    <n v="1.719E-3"/>
    <x v="1"/>
    <x v="1"/>
    <n v="1.7159113595528049E-3"/>
    <x v="1"/>
    <n v="1.701980198019802E-3"/>
    <n v="1.26E-2"/>
    <n v="1.6976101125814737E-3"/>
    <n v="-0.01"/>
    <n v="1.4666666666666665E-3"/>
    <x v="3"/>
  </r>
  <r>
    <x v="113"/>
    <x v="113"/>
    <n v="1.6670000000000001E-2"/>
    <n v="1.8E-3"/>
    <s v="8.09M"/>
    <n v="1597872"/>
    <s v="485.07M"/>
    <n v="485070000"/>
    <n v="8090000"/>
    <n v="3.2941060053188198E-3"/>
    <n v="114"/>
    <x v="5"/>
    <n v="1.6670000000000001E-2"/>
    <x v="1"/>
    <x v="1"/>
    <n v="1.664004791375524E-2"/>
    <x v="1"/>
    <n v="1.6504950495049506E-2"/>
    <n v="1.26E-2"/>
    <n v="1.646257159786688E-2"/>
    <n v="-0.01"/>
    <n v="1.4666666666666665E-3"/>
    <x v="3"/>
  </r>
  <r>
    <x v="114"/>
    <x v="114"/>
    <n v="8.0839999999999992E-3"/>
    <n v="1.7299999999999999E-2"/>
    <s v="8.08M"/>
    <n v="515608"/>
    <s v="999.44M"/>
    <n v="999440000"/>
    <n v="8080000"/>
    <n v="5.1589690226526853E-4"/>
    <n v="115"/>
    <x v="5"/>
    <n v="8.0839999999999992E-3"/>
    <x v="1"/>
    <x v="1"/>
    <n v="7.9465251155018176E-3"/>
    <x v="1"/>
    <n v="8.0039603960396031E-3"/>
    <n v="0.1211"/>
    <n v="7.2107751315672102E-3"/>
    <n v="-0.01"/>
    <n v="4.2799999999999998E-2"/>
    <x v="3"/>
  </r>
  <r>
    <x v="115"/>
    <x v="115"/>
    <n v="1.194E-4"/>
    <n v="4.8999999999999998E-3"/>
    <s v="8.07M"/>
    <n v="486718"/>
    <s v="67.54B"/>
    <n v="67540000000.000008"/>
    <n v="8070000"/>
    <n v="7.2063665975718082E-6"/>
    <n v="116"/>
    <x v="5"/>
    <n v="1.194E-4"/>
    <x v="0"/>
    <x v="1"/>
    <n v="1.1881779281520551E-4"/>
    <x v="1"/>
    <n v="1.1821782178217822E-4"/>
    <n v="3.4299999999999997E-2"/>
    <n v="1.1544039446968965E-4"/>
    <n v="-0.01"/>
    <n v="9.7333333333333317E-3"/>
    <x v="3"/>
  </r>
  <r>
    <x v="116"/>
    <x v="116"/>
    <n v="7.1915999999999994E-2"/>
    <n v="7.7999999999999996E-3"/>
    <s v="8.06M"/>
    <n v="3858925"/>
    <s v="420.69T"/>
    <n v="420690000000000"/>
    <n v="8060000"/>
    <n v="9.1728469894696811E-9"/>
    <n v="117"/>
    <x v="5"/>
    <n v="7.1915999999999994E-2"/>
    <x v="0"/>
    <x v="1"/>
    <n v="7.1359396705695563E-2"/>
    <x v="1"/>
    <n v="7.1203960396039601E-2"/>
    <n v="5.4599999999999996E-2"/>
    <n v="6.81926796889816E-2"/>
    <n v="-0.01"/>
    <n v="1.7466666666666665E-2"/>
    <x v="2"/>
  </r>
  <r>
    <x v="117"/>
    <x v="117"/>
    <n v="9.1490000000000002E-2"/>
    <n v="5.9999999999999995E-4"/>
    <s v="8.05M"/>
    <n v="1531126"/>
    <s v="88.02M"/>
    <n v="88020000"/>
    <n v="8050000"/>
    <n v="1.7395205635082935E-2"/>
    <n v="118"/>
    <x v="5"/>
    <n v="9.1490000000000002E-2"/>
    <x v="1"/>
    <x v="1"/>
    <n v="9.1435138916650019E-2"/>
    <x v="1"/>
    <n v="9.0584158415841581E-2"/>
    <n v="4.1999999999999997E-3"/>
    <n v="9.1107349133638715E-2"/>
    <n v="-0.01"/>
    <n v="1.7333333333333335E-3"/>
    <x v="2"/>
  </r>
  <r>
    <x v="118"/>
    <x v="118"/>
    <n v="53.51"/>
    <n v="1E-3"/>
    <s v="6.09M"/>
    <n v="2421276"/>
    <s v="113.88K"/>
    <n v="113880"/>
    <n v="6090000"/>
    <n v="21.261643835616439"/>
    <n v="119"/>
    <x v="4"/>
    <n v="53.51"/>
    <x v="0"/>
    <x v="0"/>
    <n v="53.456543456543457"/>
    <x v="0"/>
    <n v="52.980198019801975"/>
    <n v="7.0000000000000001E-3"/>
    <n v="53.13803376365442"/>
    <n v="-0.01"/>
    <n v="6.6666666666666697E-4"/>
    <x v="0"/>
  </r>
  <r>
    <x v="119"/>
    <x v="119"/>
    <n v="1.4600000000000001E-5"/>
    <n v="1.5E-3"/>
    <s v="6.09M"/>
    <n v="262754"/>
    <s v="417.21B"/>
    <n v="417210000000"/>
    <n v="6090000"/>
    <n v="6.297883559837971E-7"/>
    <n v="119"/>
    <x v="5"/>
    <n v="1.4600000000000001E-5"/>
    <x v="1"/>
    <x v="1"/>
    <n v="1.4578132800798802E-5"/>
    <x v="1"/>
    <n v="1.4455445544554456E-5"/>
    <n v="1.0500000000000001E-2"/>
    <n v="1.4448292924294905E-5"/>
    <n v="-0.01"/>
    <n v="6.6666666666666664E-4"/>
    <x v="3"/>
  </r>
  <r>
    <x v="120"/>
    <x v="120"/>
    <n v="1.175E-3"/>
    <n v="1.5E-3"/>
    <s v="6.09M"/>
    <n v="1752311"/>
    <s v="5.17B"/>
    <n v="5170000000"/>
    <n v="6090000"/>
    <n v="3.389382978723404E-4"/>
    <n v="119"/>
    <x v="5"/>
    <n v="1.175E-3"/>
    <x v="0"/>
    <x v="1"/>
    <n v="1.1732401397903146E-3"/>
    <x v="1"/>
    <n v="1.1633663366336633E-3"/>
    <n v="1.0500000000000001E-2"/>
    <n v="1.1627906976744188E-3"/>
    <n v="-0.01"/>
    <n v="6.6666666666666664E-4"/>
    <x v="3"/>
  </r>
  <r>
    <x v="121"/>
    <x v="121"/>
    <n v="2.1800000000000001E-3"/>
    <n v="2.3999999999999998E-3"/>
    <s v="6.09M"/>
    <n v="117839"/>
    <s v="2.79B"/>
    <n v="2790000000"/>
    <n v="6090000"/>
    <n v="4.2236200716845881E-5"/>
    <n v="119"/>
    <x v="5"/>
    <n v="2.1800000000000001E-3"/>
    <x v="0"/>
    <x v="1"/>
    <n v="2.1747805267358341E-3"/>
    <x v="1"/>
    <n v="2.1584158415841586E-3"/>
    <n v="1.6799999999999999E-2"/>
    <n v="2.1439811172305275E-3"/>
    <n v="-0.01"/>
    <n v="3.0666666666666659E-3"/>
    <x v="3"/>
  </r>
  <r>
    <x v="122"/>
    <x v="122"/>
    <n v="0.14180000000000001"/>
    <n v="1.04E-2"/>
    <s v="6.08M"/>
    <n v="159795"/>
    <s v="42.87M"/>
    <n v="42870000"/>
    <n v="6080000"/>
    <n v="3.7274317704688595E-3"/>
    <n v="123"/>
    <x v="5"/>
    <n v="0.14180000000000001"/>
    <x v="1"/>
    <x v="1"/>
    <n v="0.14034045922406968"/>
    <x v="1"/>
    <n v="0.14039603960396041"/>
    <n v="7.2800000000000004E-2"/>
    <n v="0.13217747949291575"/>
    <n v="-0.01"/>
    <n v="2.4400000000000002E-2"/>
    <x v="2"/>
  </r>
  <r>
    <x v="123"/>
    <x v="123"/>
    <n v="1.346E-3"/>
    <n v="1.3100000000000001E-2"/>
    <s v="6.06M"/>
    <n v="53778"/>
    <s v="4.5B"/>
    <n v="4500000000"/>
    <n v="6060000"/>
    <n v="1.1950666666666667E-5"/>
    <n v="124"/>
    <x v="5"/>
    <n v="1.346E-3"/>
    <x v="1"/>
    <x v="1"/>
    <n v="1.3285954002566379E-3"/>
    <x v="1"/>
    <n v="1.3326732673267327E-3"/>
    <n v="9.1700000000000004E-2"/>
    <n v="1.2329394522304664E-3"/>
    <n v="-0.01"/>
    <n v="3.1600000000000003E-2"/>
    <x v="3"/>
  </r>
  <r>
    <x v="124"/>
    <x v="124"/>
    <n v="9.196E-2"/>
    <n v="8.6E-3"/>
    <s v="6.04M"/>
    <n v="10399"/>
    <s v="65.72M"/>
    <n v="65720000"/>
    <n v="6040000"/>
    <n v="1.582318928788801E-4"/>
    <n v="125"/>
    <x v="5"/>
    <n v="9.196E-2"/>
    <x v="1"/>
    <x v="1"/>
    <n v="9.117588736862979E-2"/>
    <x v="1"/>
    <n v="9.1049504950495047E-2"/>
    <n v="6.0200000000000004E-2"/>
    <n v="8.6738351254480289E-2"/>
    <n v="-0.01"/>
    <n v="1.9600000000000003E-2"/>
    <x v="2"/>
  </r>
  <r>
    <x v="125"/>
    <x v="125"/>
    <n v="6.2080000000000002E-4"/>
    <n v="3.0999999999999999E-3"/>
    <s v="6.01M"/>
    <n v="89488"/>
    <s v="9.68B"/>
    <n v="9680000000"/>
    <n v="6010000"/>
    <n v="9.2446280991735544E-6"/>
    <n v="126"/>
    <x v="5"/>
    <n v="6.2080000000000002E-4"/>
    <x v="1"/>
    <x v="1"/>
    <n v="6.1888146745090215E-4"/>
    <x v="1"/>
    <n v="6.1465346534653469E-4"/>
    <n v="2.1700000000000001E-2"/>
    <n v="6.0761475971420184E-4"/>
    <n v="-0.01"/>
    <n v="4.9333333333333338E-3"/>
    <x v="3"/>
  </r>
  <r>
    <x v="126"/>
    <x v="126"/>
    <n v="6.1045000000000002E-2"/>
    <n v="1E-4"/>
    <s v="5.99M"/>
    <n v="363958"/>
    <s v="57.27T"/>
    <n v="57270000000000"/>
    <n v="5990000"/>
    <n v="6.3551248472149472E-9"/>
    <n v="127"/>
    <x v="5"/>
    <n v="6.1045000000000002E-2"/>
    <x v="0"/>
    <x v="1"/>
    <n v="6.1038896110388964E-2"/>
    <x v="1"/>
    <n v="6.0440594059405939E-2"/>
    <n v="6.9999999999999999E-4"/>
    <n v="6.1002298391126218E-2"/>
    <n v="-0.01"/>
    <n v="3.0666666666666672E-3"/>
    <x v="2"/>
  </r>
  <r>
    <x v="127"/>
    <x v="127"/>
    <n v="8.5963999999999999E-2"/>
    <n v="6.0000000000000001E-3"/>
    <s v="5.96M"/>
    <n v="2924315"/>
    <s v="1P"/>
    <m/>
    <n v="5960000"/>
    <e v="#DIV/0!"/>
    <n v="128"/>
    <x v="5"/>
    <n v="8.5963999999999999E-2"/>
    <x v="1"/>
    <x v="1"/>
    <n v="8.5451292246520871E-2"/>
    <x v="1"/>
    <n v="8.5112871287128716E-2"/>
    <n v="4.2000000000000003E-2"/>
    <n v="8.2499040307101729E-2"/>
    <n v="-0.01"/>
    <n v="1.2666666666666668E-2"/>
    <x v="2"/>
  </r>
  <r>
    <x v="128"/>
    <x v="128"/>
    <n v="3.576E-2"/>
    <n v="4.3E-3"/>
    <s v="4.7M"/>
    <n v="682"/>
    <s v="131.43M"/>
    <n v="131430000"/>
    <n v="4700000"/>
    <n v="5.1890740318040023E-6"/>
    <n v="129"/>
    <x v="5"/>
    <n v="3.576E-2"/>
    <x v="1"/>
    <x v="1"/>
    <n v="3.5606890371402966E-2"/>
    <x v="1"/>
    <n v="3.5405940594059403E-2"/>
    <n v="3.0100000000000002E-2"/>
    <n v="3.4715076206193574E-2"/>
    <n v="-0.01"/>
    <n v="8.1333333333333344E-3"/>
    <x v="3"/>
  </r>
  <r>
    <x v="129"/>
    <x v="129"/>
    <n v="2.3699999999999999E-2"/>
    <n v="6.0000000000000001E-3"/>
    <s v="4.63M"/>
    <n v="14121"/>
    <s v="195.42M"/>
    <n v="195420000"/>
    <n v="4630000"/>
    <n v="7.2259748234571687E-5"/>
    <n v="130"/>
    <x v="5"/>
    <n v="2.3699999999999999E-2"/>
    <x v="1"/>
    <x v="1"/>
    <n v="2.3558648111332008E-2"/>
    <x v="1"/>
    <n v="2.3465346534653465E-2"/>
    <n v="4.2000000000000003E-2"/>
    <n v="2.2744721689059499E-2"/>
    <n v="-0.01"/>
    <n v="1.2666666666666668E-2"/>
    <x v="3"/>
  </r>
  <r>
    <x v="130"/>
    <x v="130"/>
    <n v="4.6319999999999998E-3"/>
    <n v="6.7000000000000002E-3"/>
    <s v="4.63M"/>
    <n v="79692"/>
    <s v="1B"/>
    <n v="1000000000"/>
    <n v="4630000"/>
    <n v="7.9691999999999995E-5"/>
    <n v="130"/>
    <x v="5"/>
    <n v="4.6319999999999998E-3"/>
    <x v="1"/>
    <x v="1"/>
    <n v="4.6011721466176622E-3"/>
    <x v="1"/>
    <n v="4.5861386138613862E-3"/>
    <n v="4.6900000000000004E-2"/>
    <n v="4.424491355430318E-3"/>
    <n v="-0.01"/>
    <n v="1.4533333333333336E-2"/>
    <x v="3"/>
  </r>
  <r>
    <x v="131"/>
    <x v="131"/>
    <n v="1.671E-3"/>
    <n v="8.0999999999999996E-3"/>
    <s v="4.62M"/>
    <n v="67565"/>
    <s v="2.76B"/>
    <n v="2760000000"/>
    <n v="4620000"/>
    <n v="2.4480072463768116E-5"/>
    <n v="132"/>
    <x v="5"/>
    <n v="1.671E-3"/>
    <x v="1"/>
    <x v="1"/>
    <n v="1.6575736534074001E-3"/>
    <x v="1"/>
    <n v="1.6544554455445544E-3"/>
    <n v="5.67E-2"/>
    <n v="1.5813381281347592E-3"/>
    <n v="-0.01"/>
    <n v="1.8266666666666667E-2"/>
    <x v="3"/>
  </r>
  <r>
    <x v="132"/>
    <x v="132"/>
    <n v="3.073E-2"/>
    <n v="2.2000000000000001E-3"/>
    <s v="4.61M"/>
    <n v="2"/>
    <s v="149.99M"/>
    <n v="149990000"/>
    <n v="4610000"/>
    <n v="1.3334222281485432E-8"/>
    <n v="133"/>
    <x v="5"/>
    <n v="3.073E-2"/>
    <x v="0"/>
    <x v="1"/>
    <n v="3.066254240670525E-2"/>
    <x v="1"/>
    <n v="3.0425742574257425E-2"/>
    <n v="1.54E-2"/>
    <n v="3.0263935394918257E-2"/>
    <n v="-0.01"/>
    <n v="2.5333333333333336E-3"/>
    <x v="3"/>
  </r>
  <r>
    <x v="133"/>
    <x v="133"/>
    <n v="2.1930000000000002E-2"/>
    <n v="2.0999999999999999E-3"/>
    <s v="4.6M"/>
    <n v="170407"/>
    <s v="209.9M"/>
    <n v="209900000"/>
    <n v="4600000"/>
    <n v="8.11848499285374E-4"/>
    <n v="134"/>
    <x v="5"/>
    <n v="2.1930000000000002E-2"/>
    <x v="1"/>
    <x v="1"/>
    <n v="2.1884043508631875E-2"/>
    <x v="1"/>
    <n v="2.1712871287128715E-2"/>
    <n v="1.47E-2"/>
    <n v="2.1612299201734506E-2"/>
    <n v="-0.01"/>
    <n v="2.2666666666666664E-3"/>
    <x v="3"/>
  </r>
  <r>
    <x v="134"/>
    <x v="134"/>
    <n v="8.1739999999999993E-2"/>
    <n v="4.1999999999999997E-3"/>
    <s v="4.58M"/>
    <n v="489376629"/>
    <s v="56M"/>
    <n v="56000000"/>
    <n v="4580000"/>
    <n v="8.7388683749999991"/>
    <n v="135"/>
    <x v="5"/>
    <n v="8.1739999999999993E-2"/>
    <x v="1"/>
    <x v="1"/>
    <n v="8.1398127862975497E-2"/>
    <x v="1"/>
    <n v="8.0930693069306919E-2"/>
    <n v="2.9399999999999999E-2"/>
    <n v="7.9405478919759076E-2"/>
    <n v="-0.01"/>
    <n v="7.8666666666666659E-3"/>
    <x v="2"/>
  </r>
  <r>
    <x v="135"/>
    <x v="135"/>
    <n v="1.9120000000000002E-2"/>
    <n v="5.0000000000000001E-3"/>
    <s v="4.57M"/>
    <n v="84311"/>
    <s v="238.67M"/>
    <n v="238670000"/>
    <n v="4570000"/>
    <n v="3.5325344618091924E-4"/>
    <n v="136"/>
    <x v="5"/>
    <n v="1.9120000000000002E-2"/>
    <x v="1"/>
    <x v="1"/>
    <n v="1.902487562189055E-2"/>
    <x v="1"/>
    <n v="1.8930693069306934E-2"/>
    <n v="3.5000000000000003E-2"/>
    <n v="1.8473429951690823E-2"/>
    <n v="-0.01"/>
    <n v="0.01"/>
    <x v="3"/>
  </r>
  <r>
    <x v="136"/>
    <x v="136"/>
    <n v="6.9470000000000003E-4"/>
    <n v="4.3E-3"/>
    <s v="4.52M"/>
    <n v="2935208"/>
    <s v="6.51B"/>
    <n v="6510000000"/>
    <n v="4520000"/>
    <n v="4.5087680491551457E-4"/>
    <n v="137"/>
    <x v="5"/>
    <n v="6.9470000000000003E-4"/>
    <x v="0"/>
    <x v="1"/>
    <n v="6.9172558000597437E-4"/>
    <x v="1"/>
    <n v="6.8782178217821784E-4"/>
    <n v="3.0100000000000002E-2"/>
    <n v="6.7440054363654021E-4"/>
    <n v="-0.01"/>
    <n v="8.1333333333333344E-3"/>
    <x v="3"/>
  </r>
  <r>
    <x v="137"/>
    <x v="137"/>
    <n v="76"/>
    <n v="3.3E-3"/>
    <s v="4.52M"/>
    <n v="3866702"/>
    <s v="59.4K"/>
    <n v="59400"/>
    <n v="4520000"/>
    <n v="65.095993265993272"/>
    <n v="137"/>
    <x v="4"/>
    <n v="76"/>
    <x v="1"/>
    <x v="0"/>
    <n v="75.750024917771341"/>
    <x v="0"/>
    <n v="75.247524752475243"/>
    <n v="2.3099999999999999E-2"/>
    <n v="74.284038705893863"/>
    <n v="-0.01"/>
    <n v="5.4666666666666657E-3"/>
    <x v="0"/>
  </r>
  <r>
    <x v="138"/>
    <x v="138"/>
    <n v="1.2070000000000001E-4"/>
    <n v="2.0000000000000001E-4"/>
    <s v="3.51M"/>
    <n v="25011"/>
    <s v="29.05B"/>
    <n v="29050000000"/>
    <n v="3510000"/>
    <n v="8.6096385542168673E-7"/>
    <n v="139"/>
    <x v="5"/>
    <n v="1.2070000000000001E-4"/>
    <x v="1"/>
    <x v="1"/>
    <n v="1.206758648270346E-4"/>
    <x v="1"/>
    <n v="1.1950495049504952E-4"/>
    <n v="1.4E-3"/>
    <n v="1.2053125624126223E-4"/>
    <n v="-0.01"/>
    <n v="2.8E-3"/>
    <x v="3"/>
  </r>
  <r>
    <x v="139"/>
    <x v="139"/>
    <n v="0.99529999999999996"/>
    <n v="0"/>
    <s v="3.5M"/>
    <n v="3442"/>
    <s v="3.51M"/>
    <n v="3510000"/>
    <n v="3500000"/>
    <n v="9.8062678062678073E-4"/>
    <n v="140"/>
    <x v="2"/>
    <n v="0.99529999999999996"/>
    <x v="1"/>
    <x v="1"/>
    <n v="0.99529999999999996"/>
    <x v="1"/>
    <n v="0.98544554455445543"/>
    <n v="0"/>
    <n v="0.99529999999999996"/>
    <n v="-0.01"/>
    <n v="3.3333333333333335E-3"/>
    <x v="1"/>
  </r>
  <r>
    <x v="140"/>
    <x v="140"/>
    <n v="3.7039999999999998E-3"/>
    <n v="8.0000000000000002E-3"/>
    <s v="3.5M"/>
    <n v="692473"/>
    <s v="944.2M"/>
    <n v="944200000"/>
    <n v="3500000"/>
    <n v="7.3339652615971192E-4"/>
    <n v="140"/>
    <x v="5"/>
    <n v="3.7039999999999998E-3"/>
    <x v="1"/>
    <x v="1"/>
    <n v="3.6746031746031746E-3"/>
    <x v="1"/>
    <n v="3.6673267326732669E-3"/>
    <n v="5.6000000000000001E-2"/>
    <n v="3.5075757575757571E-3"/>
    <n v="-0.01"/>
    <n v="1.7999999999999999E-2"/>
    <x v="3"/>
  </r>
  <r>
    <x v="141"/>
    <x v="141"/>
    <n v="0.152"/>
    <n v="2.9999999999999997E-4"/>
    <s v="3.48M"/>
    <n v="18862"/>
    <s v="22.91M"/>
    <n v="22910000"/>
    <n v="3480000"/>
    <n v="8.233085988651244E-4"/>
    <n v="142"/>
    <x v="5"/>
    <n v="0.152"/>
    <x v="0"/>
    <x v="1"/>
    <n v="0.15195441367589724"/>
    <x v="1"/>
    <n v="0.15049504950495049"/>
    <n v="2.0999999999999999E-3"/>
    <n v="0.15168146891527792"/>
    <n v="-0.01"/>
    <n v="2.5333333333333336E-3"/>
    <x v="2"/>
  </r>
  <r>
    <x v="142"/>
    <x v="142"/>
    <n v="140.13"/>
    <n v="5.0000000000000001E-4"/>
    <s v="3.46M"/>
    <n v="3816417"/>
    <s v="24.72K"/>
    <n v="24720"/>
    <n v="3460000"/>
    <n v="154.38580097087379"/>
    <n v="143"/>
    <x v="0"/>
    <n v="140.13"/>
    <x v="0"/>
    <x v="0"/>
    <n v="140.0599700149925"/>
    <x v="0"/>
    <n v="138.74257425742573"/>
    <n v="3.5000000000000001E-3"/>
    <n v="139.64125560538116"/>
    <n v="-0.01"/>
    <n v="2E-3"/>
    <x v="0"/>
  </r>
  <r>
    <x v="143"/>
    <x v="143"/>
    <n v="2.2950000000000002E-2"/>
    <n v="4.0000000000000002E-4"/>
    <s v="3.46M"/>
    <n v="70547"/>
    <s v="150.75M"/>
    <n v="150750000"/>
    <n v="3460000"/>
    <n v="4.6797346600331677E-4"/>
    <n v="143"/>
    <x v="5"/>
    <n v="2.2950000000000002E-2"/>
    <x v="0"/>
    <x v="1"/>
    <n v="2.2940823670531789E-2"/>
    <x v="1"/>
    <n v="2.2722772277227726E-2"/>
    <n v="2.8E-3"/>
    <n v="2.28859194256083E-2"/>
    <n v="-0.01"/>
    <n v="2.2666666666666668E-3"/>
    <x v="3"/>
  </r>
  <r>
    <x v="144"/>
    <x v="144"/>
    <n v="9.5320000000000005E-3"/>
    <n v="1E-4"/>
    <s v="3.44M"/>
    <n v="331370"/>
    <s v="361.28M"/>
    <n v="361280000"/>
    <n v="3440000"/>
    <n v="9.1721102745792734E-4"/>
    <n v="145"/>
    <x v="5"/>
    <n v="9.5320000000000005E-3"/>
    <x v="1"/>
    <x v="1"/>
    <n v="9.5310468953104695E-3"/>
    <x v="1"/>
    <n v="9.4376237623762377E-3"/>
    <n v="6.9999999999999999E-4"/>
    <n v="9.5253322674128116E-3"/>
    <n v="-0.01"/>
    <n v="3.0666666666666672E-3"/>
    <x v="3"/>
  </r>
  <r>
    <x v="145"/>
    <x v="145"/>
    <n v="5.1770000000000002E-3"/>
    <n v="0"/>
    <s v="3.44M"/>
    <n v="18302"/>
    <s v="664M"/>
    <n v="664000000"/>
    <n v="3440000"/>
    <n v="2.7563253012048192E-5"/>
    <n v="145"/>
    <x v="5"/>
    <n v="5.1770000000000002E-3"/>
    <x v="0"/>
    <x v="1"/>
    <n v="5.1770000000000002E-3"/>
    <x v="1"/>
    <n v="5.1257425742574263E-3"/>
    <n v="0"/>
    <n v="5.1770000000000002E-3"/>
    <n v="-0.01"/>
    <n v="3.3333333333333335E-3"/>
    <x v="3"/>
  </r>
  <r>
    <x v="146"/>
    <x v="146"/>
    <n v="1.7479999999999999E-2"/>
    <n v="2.9999999999999997E-4"/>
    <s v="3.43M"/>
    <n v="2228741"/>
    <s v="196.07M"/>
    <n v="196070000"/>
    <n v="3430000"/>
    <n v="1.1367067883919009E-2"/>
    <n v="147"/>
    <x v="5"/>
    <n v="1.7479999999999999E-2"/>
    <x v="1"/>
    <x v="1"/>
    <n v="1.7474757572728181E-2"/>
    <x v="1"/>
    <n v="1.7306930693069305E-2"/>
    <n v="2.0999999999999999E-3"/>
    <n v="1.7443368925256959E-2"/>
    <n v="-0.01"/>
    <n v="2.5333333333333336E-3"/>
    <x v="3"/>
  </r>
  <r>
    <x v="147"/>
    <x v="147"/>
    <n v="5.6039999999999996E-3"/>
    <n v="3.3999999999999998E-3"/>
    <s v="3.41M"/>
    <n v="183001"/>
    <s v="608.35M"/>
    <n v="608350000"/>
    <n v="3410000"/>
    <n v="3.0081532012821567E-4"/>
    <n v="148"/>
    <x v="5"/>
    <n v="5.6039999999999996E-3"/>
    <x v="1"/>
    <x v="1"/>
    <n v="5.5850109627267287E-3"/>
    <x v="1"/>
    <n v="5.5485148514851481E-3"/>
    <n v="2.3799999999999998E-2"/>
    <n v="5.4737253369798785E-3"/>
    <n v="-0.01"/>
    <n v="5.7333333333333333E-3"/>
    <x v="3"/>
  </r>
  <r>
    <x v="148"/>
    <x v="148"/>
    <n v="3.4489999999999998E-3"/>
    <n v="8.9999999999999993E-3"/>
    <s v="2.78M"/>
    <n v="79437"/>
    <s v="805.71M"/>
    <n v="805710000"/>
    <n v="2780000"/>
    <n v="9.8592545705030352E-5"/>
    <n v="149"/>
    <x v="5"/>
    <n v="3.4489999999999998E-3"/>
    <x v="0"/>
    <x v="1"/>
    <n v="3.4182358771060457E-3"/>
    <x v="1"/>
    <n v="3.4148514851485147E-3"/>
    <n v="6.3E-2"/>
    <n v="3.244590780809031E-3"/>
    <n v="-0.01"/>
    <n v="2.0666666666666667E-2"/>
    <x v="3"/>
  </r>
  <r>
    <x v="149"/>
    <x v="149"/>
    <n v="1.6019999999999999E-3"/>
    <n v="1.1999999999999999E-3"/>
    <s v="2.78M"/>
    <n v="488742"/>
    <s v="1.73B"/>
    <n v="1730000000"/>
    <n v="2780000"/>
    <n v="2.825098265895954E-4"/>
    <n v="149"/>
    <x v="5"/>
    <n v="1.6019999999999999E-3"/>
    <x v="1"/>
    <x v="1"/>
    <n v="1.6000799041150616E-3"/>
    <x v="1"/>
    <n v="1.5861386138613859E-3"/>
    <n v="8.3999999999999995E-3"/>
    <n v="1.5886552955176516E-3"/>
    <n v="-0.01"/>
    <n v="1.3333333333333369E-4"/>
    <x v="3"/>
  </r>
  <r>
    <x v="150"/>
    <x v="150"/>
    <n v="1.5910000000000001E-2"/>
    <n v="6.9999999999999999E-4"/>
    <s v="2.76M"/>
    <n v="906"/>
    <s v="173.7M"/>
    <n v="173700000"/>
    <n v="2760000"/>
    <n v="5.2158894645941278E-6"/>
    <n v="151"/>
    <x v="5"/>
    <n v="1.5910000000000001E-2"/>
    <x v="0"/>
    <x v="1"/>
    <n v="1.589887079044669E-2"/>
    <x v="1"/>
    <n v="1.5752475247524753E-2"/>
    <n v="4.8999999999999998E-3"/>
    <n v="1.5832421136431487E-2"/>
    <n v="-0.01"/>
    <n v="1.4666666666666671E-3"/>
    <x v="3"/>
  </r>
  <r>
    <x v="151"/>
    <x v="151"/>
    <n v="3.1189999999999999E-4"/>
    <n v="3.3E-3"/>
    <s v="2.76M"/>
    <n v="138487"/>
    <s v="8.85B"/>
    <n v="8850000000"/>
    <n v="2760000"/>
    <n v="1.5648248587570623E-5"/>
    <n v="151"/>
    <x v="5"/>
    <n v="3.1189999999999999E-4"/>
    <x v="1"/>
    <x v="1"/>
    <n v="3.1087411541911686E-4"/>
    <x v="1"/>
    <n v="3.0881188118811882E-4"/>
    <n v="2.3099999999999999E-2"/>
    <n v="3.0485778516274072E-4"/>
    <n v="-0.01"/>
    <n v="5.4666666666666657E-3"/>
    <x v="3"/>
  </r>
  <r>
    <x v="152"/>
    <x v="152"/>
    <n v="184.44"/>
    <n v="6.9999999999999999E-4"/>
    <s v="2.76M"/>
    <n v="2435016"/>
    <s v="14.98K"/>
    <n v="14980"/>
    <n v="2760000"/>
    <n v="162.55113484646196"/>
    <n v="151"/>
    <x v="0"/>
    <n v="184.44"/>
    <x v="0"/>
    <x v="0"/>
    <n v="184.31098231238136"/>
    <x v="0"/>
    <n v="182.61386138613861"/>
    <n v="4.8999999999999998E-3"/>
    <n v="183.54065081102598"/>
    <n v="-0.01"/>
    <n v="1.4666666666666671E-3"/>
    <x v="0"/>
  </r>
  <r>
    <x v="153"/>
    <x v="153"/>
    <n v="7.6110000000000001E-5"/>
    <n v="8.0000000000000004E-4"/>
    <s v="2.76M"/>
    <n v="738686"/>
    <s v="36.27B"/>
    <n v="36270000000"/>
    <n v="2760000"/>
    <n v="2.0366308243727598E-5"/>
    <n v="151"/>
    <x v="5"/>
    <n v="7.6110000000000001E-5"/>
    <x v="1"/>
    <x v="1"/>
    <n v="7.6049160671462832E-5"/>
    <x v="1"/>
    <n v="7.5356435643564356E-5"/>
    <n v="5.5999999999999999E-3"/>
    <n v="7.5686157517899759E-5"/>
    <n v="-0.01"/>
    <n v="1.1999999999999999E-3"/>
    <x v="3"/>
  </r>
  <r>
    <x v="154"/>
    <x v="154"/>
    <n v="1.324E-2"/>
    <n v="1.18E-2"/>
    <s v="2.76M"/>
    <n v="203246"/>
    <s v="208.34M"/>
    <n v="208340000"/>
    <n v="2760000"/>
    <n v="9.755495824133628E-4"/>
    <n v="151"/>
    <x v="5"/>
    <n v="1.324E-2"/>
    <x v="1"/>
    <x v="1"/>
    <n v="1.3085590037556829E-2"/>
    <x v="1"/>
    <n v="1.3108910891089108E-2"/>
    <n v="8.2599999999999993E-2"/>
    <n v="1.2229817106964715E-2"/>
    <n v="-0.01"/>
    <n v="2.813333333333333E-2"/>
    <x v="3"/>
  </r>
  <r>
    <x v="155"/>
    <x v="155"/>
    <n v="2.8510000000000001E-2"/>
    <n v="2.7400000000000001E-2"/>
    <s v="2.75M"/>
    <n v="263052"/>
    <s v="96.44M"/>
    <n v="96440000"/>
    <n v="2750000"/>
    <n v="2.7276233927830775E-3"/>
    <n v="156"/>
    <x v="5"/>
    <n v="2.8510000000000001E-2"/>
    <x v="0"/>
    <x v="1"/>
    <n v="2.7749659334241773E-2"/>
    <x v="1"/>
    <n v="2.8227722772277229E-2"/>
    <n v="0.1918"/>
    <n v="2.3921798959556973E-2"/>
    <n v="-0.01"/>
    <n v="6.9733333333333328E-2"/>
    <x v="3"/>
  </r>
  <r>
    <x v="156"/>
    <x v="156"/>
    <n v="3.0609999999999999E-3"/>
    <n v="5.0000000000000001E-4"/>
    <s v="2.74M"/>
    <n v="306507"/>
    <s v="896.56M"/>
    <n v="896560000"/>
    <n v="2740000"/>
    <n v="3.4187003658427769E-4"/>
    <n v="157"/>
    <x v="5"/>
    <n v="3.0609999999999999E-3"/>
    <x v="1"/>
    <x v="1"/>
    <n v="3.0594702648675661E-3"/>
    <x v="1"/>
    <n v="3.0306930693069305E-3"/>
    <n v="3.5000000000000001E-3"/>
    <n v="3.0503238664673638E-3"/>
    <n v="-0.01"/>
    <n v="2E-3"/>
    <x v="3"/>
  </r>
  <r>
    <x v="157"/>
    <x v="157"/>
    <n v="7.4999999999999997E-3"/>
    <n v="6.9999999999999999E-4"/>
    <s v="2.74M"/>
    <n v="179594"/>
    <s v="365.83M"/>
    <n v="365830000"/>
    <n v="2740000"/>
    <n v="4.9092201295683783E-4"/>
    <n v="157"/>
    <x v="5"/>
    <n v="7.4999999999999997E-3"/>
    <x v="1"/>
    <x v="1"/>
    <n v="7.4947536724292996E-3"/>
    <x v="1"/>
    <n v="7.4257425742574254E-3"/>
    <n v="4.8999999999999998E-3"/>
    <n v="7.4634291969350192E-3"/>
    <n v="-0.01"/>
    <n v="1.4666666666666671E-3"/>
    <x v="3"/>
  </r>
  <r>
    <x v="158"/>
    <x v="158"/>
    <n v="9.1570000000000002E-3"/>
    <n v="4.0000000000000002E-4"/>
    <s v="2.24M"/>
    <n v="8587"/>
    <s v="245M"/>
    <n v="245000000"/>
    <n v="2240000"/>
    <n v="3.5048979591836732E-5"/>
    <n v="159"/>
    <x v="5"/>
    <n v="9.1570000000000002E-3"/>
    <x v="0"/>
    <x v="1"/>
    <n v="9.1533386645341868E-3"/>
    <x v="1"/>
    <n v="9.0663366336633661E-3"/>
    <n v="2.8E-3"/>
    <n v="9.1314319904268054E-3"/>
    <n v="-0.01"/>
    <n v="2.2666666666666668E-3"/>
    <x v="3"/>
  </r>
  <r>
    <x v="159"/>
    <x v="159"/>
    <n v="2.3099999999999999E-2"/>
    <n v="2.0000000000000001E-4"/>
    <s v="2.24M"/>
    <n v="324150"/>
    <s v="96.97M"/>
    <n v="96970000"/>
    <n v="2240000"/>
    <n v="3.3427864287924099E-3"/>
    <n v="159"/>
    <x v="5"/>
    <n v="2.3099999999999999E-2"/>
    <x v="1"/>
    <x v="1"/>
    <n v="2.3095380923815235E-2"/>
    <x v="1"/>
    <n v="2.2871287128712871E-2"/>
    <n v="1.4E-3"/>
    <n v="2.3067705212702214E-2"/>
    <n v="-0.01"/>
    <n v="2.8E-3"/>
    <x v="3"/>
  </r>
  <r>
    <x v="160"/>
    <x v="160"/>
    <n v="894.78"/>
    <n v="0"/>
    <s v="2.24M"/>
    <n v="923157"/>
    <s v="2.49K"/>
    <n v="2490"/>
    <n v="2240000"/>
    <n v="370.74578313253011"/>
    <n v="159"/>
    <x v="0"/>
    <n v="894.78"/>
    <x v="1"/>
    <x v="0"/>
    <n v="894.78"/>
    <x v="0"/>
    <n v="885.9207920792079"/>
    <n v="0"/>
    <n v="894.78"/>
    <n v="-0.01"/>
    <n v="3.3333333333333335E-3"/>
    <x v="0"/>
  </r>
  <r>
    <x v="161"/>
    <x v="161"/>
    <n v="9.7510000000000001E-4"/>
    <n v="2.9999999999999997E-4"/>
    <s v="2.23M"/>
    <n v="225781"/>
    <s v="2.28B"/>
    <n v="2280000000"/>
    <n v="2230000"/>
    <n v="9.9026754385964907E-5"/>
    <n v="162"/>
    <x v="5"/>
    <n v="9.7510000000000001E-4"/>
    <x v="1"/>
    <x v="1"/>
    <n v="9.748075577326802E-4"/>
    <x v="1"/>
    <n v="9.6544554455445545E-4"/>
    <n v="2.0999999999999999E-3"/>
    <n v="9.7305658117952305E-4"/>
    <n v="-0.01"/>
    <n v="2.5333333333333336E-3"/>
    <x v="3"/>
  </r>
  <r>
    <x v="162"/>
    <x v="162"/>
    <n v="4.3140000000000001E-3"/>
    <n v="3.7000000000000002E-3"/>
    <s v="2.22M"/>
    <n v="67570"/>
    <s v="515M"/>
    <n v="515000000"/>
    <n v="2220000"/>
    <n v="1.3120388349514562E-4"/>
    <n v="163"/>
    <x v="5"/>
    <n v="4.3140000000000001E-3"/>
    <x v="1"/>
    <x v="1"/>
    <n v="4.298097040948491E-3"/>
    <x v="1"/>
    <n v="4.2712871287128714E-3"/>
    <n v="2.5899999999999999E-2"/>
    <n v="4.2050882152256559E-3"/>
    <n v="-0.01"/>
    <n v="6.5333333333333328E-3"/>
    <x v="3"/>
  </r>
  <r>
    <x v="163"/>
    <x v="163"/>
    <n v="1.7829999999999999E-2"/>
    <n v="0"/>
    <s v="2.22M"/>
    <n v="2146"/>
    <s v="124.42M"/>
    <n v="124420000"/>
    <n v="2220000"/>
    <n v="1.7248030863205273E-5"/>
    <n v="163"/>
    <x v="5"/>
    <n v="1.7829999999999999E-2"/>
    <x v="1"/>
    <x v="1"/>
    <n v="1.7829999999999999E-2"/>
    <x v="1"/>
    <n v="1.7653465346534652E-2"/>
    <n v="0"/>
    <n v="1.7829999999999999E-2"/>
    <n v="-0.01"/>
    <n v="3.3333333333333335E-3"/>
    <x v="3"/>
  </r>
  <r>
    <x v="164"/>
    <x v="164"/>
    <n v="4.1219999999999998E-3"/>
    <n v="1.1000000000000001E-3"/>
    <s v="2.21M"/>
    <n v="123024"/>
    <s v="535.21M"/>
    <n v="535210000.00000006"/>
    <n v="2210000"/>
    <n v="2.2986117598699574E-4"/>
    <n v="165"/>
    <x v="5"/>
    <n v="4.1219999999999998E-3"/>
    <x v="1"/>
    <x v="1"/>
    <n v="4.1174707821396454E-3"/>
    <x v="1"/>
    <n v="4.0811881188118808E-3"/>
    <n v="7.7000000000000002E-3"/>
    <n v="4.0905031259303361E-3"/>
    <n v="-0.01"/>
    <n v="3.9999999999999991E-4"/>
    <x v="3"/>
  </r>
  <r>
    <x v="165"/>
    <x v="165"/>
    <n v="1.4659999999999999E-2"/>
    <n v="4.5999999999999999E-3"/>
    <s v="2.2M"/>
    <n v="72292"/>
    <s v="150M"/>
    <n v="150000000"/>
    <n v="2200000"/>
    <n v="4.8194666666666666E-4"/>
    <n v="166"/>
    <x v="5"/>
    <n v="1.4659999999999999E-2"/>
    <x v="1"/>
    <x v="1"/>
    <n v="1.4592872785188135E-2"/>
    <x v="1"/>
    <n v="1.4514851485148514E-2"/>
    <n v="3.2199999999999999E-2"/>
    <n v="1.4202673900406897E-2"/>
    <n v="-0.01"/>
    <n v="8.9333333333333331E-3"/>
    <x v="3"/>
  </r>
  <r>
    <x v="166"/>
    <x v="166"/>
    <n v="1.098E-2"/>
    <n v="1.2E-2"/>
    <s v="2.2M"/>
    <n v="190835"/>
    <s v="199.99M"/>
    <n v="199990000"/>
    <n v="2200000"/>
    <n v="9.5422271113555681E-4"/>
    <n v="166"/>
    <x v="5"/>
    <n v="1.098E-2"/>
    <x v="1"/>
    <x v="1"/>
    <n v="1.0849802371541503E-2"/>
    <x v="1"/>
    <n v="1.0871287128712871E-2"/>
    <n v="8.4000000000000005E-2"/>
    <n v="1.0129151291512914E-2"/>
    <n v="-0.01"/>
    <n v="2.866666666666667E-2"/>
    <x v="3"/>
  </r>
  <r>
    <x v="167"/>
    <x v="167"/>
    <n v="2.0730000000000002E-3"/>
    <n v="2.1999999999999999E-2"/>
    <s v="2.19M"/>
    <n v="90770"/>
    <s v="1.05B"/>
    <n v="1050000000"/>
    <n v="2190000"/>
    <n v="8.6447619047619041E-5"/>
    <n v="168"/>
    <x v="5"/>
    <n v="2.0730000000000002E-3"/>
    <x v="1"/>
    <x v="1"/>
    <n v="2.0283757338551861E-3"/>
    <x v="1"/>
    <n v="2.0524752475247527E-3"/>
    <n v="0.154"/>
    <n v="1.7963604852686312E-3"/>
    <n v="-0.01"/>
    <n v="5.5333333333333339E-2"/>
    <x v="3"/>
  </r>
  <r>
    <x v="168"/>
    <x v="168"/>
    <n v="4.4979999999999998E-4"/>
    <n v="0.14630000000000001"/>
    <s v="1.8M"/>
    <n v="45"/>
    <s v="3.99B"/>
    <n v="3990000000"/>
    <n v="1800000"/>
    <n v="1.1278195488721804E-8"/>
    <n v="169"/>
    <x v="5"/>
    <n v="4.4979999999999998E-4"/>
    <x v="1"/>
    <x v="1"/>
    <n v="3.9239291633952713E-4"/>
    <x v="1"/>
    <n v="4.4534653465346533E-4"/>
    <n v="1.0241"/>
    <n v="2.2222222222222223E-4"/>
    <n v="-0.01"/>
    <n v="0.38680000000000003"/>
    <x v="3"/>
  </r>
  <r>
    <x v="169"/>
    <x v="169"/>
    <n v="3.558E-3"/>
    <n v="1.8E-3"/>
    <s v="1.79M"/>
    <n v="94995"/>
    <s v="504.08M"/>
    <n v="504080000"/>
    <n v="1790000"/>
    <n v="1.884522298047929E-4"/>
    <n v="170"/>
    <x v="5"/>
    <n v="3.558E-3"/>
    <x v="1"/>
    <x v="1"/>
    <n v="3.5516071072070271E-3"/>
    <x v="1"/>
    <n v="3.5227722772277225E-3"/>
    <n v="1.26E-2"/>
    <n v="3.5137270393047603E-3"/>
    <n v="-0.01"/>
    <n v="1.4666666666666665E-3"/>
    <x v="3"/>
  </r>
  <r>
    <x v="170"/>
    <x v="170"/>
    <n v="1.7930000000000001E-2"/>
    <n v="4.0000000000000002E-4"/>
    <s v="1.79M"/>
    <n v="40586"/>
    <s v="100M"/>
    <n v="100000000"/>
    <n v="1790000"/>
    <n v="4.0586000000000002E-4"/>
    <n v="170"/>
    <x v="5"/>
    <n v="1.7930000000000001E-2"/>
    <x v="1"/>
    <x v="1"/>
    <n v="1.792283086765294E-2"/>
    <x v="1"/>
    <n v="1.7752475247524754E-2"/>
    <n v="2.8E-3"/>
    <n v="1.7879936178699644E-2"/>
    <n v="-0.01"/>
    <n v="2.2666666666666668E-3"/>
    <x v="3"/>
  </r>
  <r>
    <x v="171"/>
    <x v="171"/>
    <n v="1.789E-3"/>
    <n v="8.6E-3"/>
    <s v="1.79M"/>
    <n v="902399"/>
    <s v="1B"/>
    <n v="1000000000"/>
    <n v="1790000"/>
    <n v="9.0239900000000002E-4"/>
    <n v="170"/>
    <x v="5"/>
    <n v="1.789E-3"/>
    <x v="1"/>
    <x v="1"/>
    <n v="1.7737457862383502E-3"/>
    <x v="1"/>
    <n v="1.7712871287128714E-3"/>
    <n v="6.0200000000000004E-2"/>
    <n v="1.6874174684021882E-3"/>
    <n v="-0.01"/>
    <n v="1.9600000000000003E-2"/>
    <x v="3"/>
  </r>
  <r>
    <x v="172"/>
    <x v="172"/>
    <n v="4.1580000000000002E-3"/>
    <n v="2.7E-2"/>
    <s v="1.79M"/>
    <n v="68754"/>
    <s v="429.81M"/>
    <n v="429810000"/>
    <n v="1790000"/>
    <n v="1.5996370489285963E-4"/>
    <n v="170"/>
    <x v="5"/>
    <n v="4.1580000000000002E-3"/>
    <x v="0"/>
    <x v="1"/>
    <n v="4.0486854917234673E-3"/>
    <x v="1"/>
    <n v="4.1168316831683167E-3"/>
    <n v="0.189"/>
    <n v="3.4970563498738436E-3"/>
    <n v="-0.01"/>
    <n v="6.8666666666666668E-2"/>
    <x v="3"/>
  </r>
  <r>
    <x v="173"/>
    <x v="173"/>
    <n v="6.2430000000000003E-3"/>
    <n v="6.1999999999999998E-3"/>
    <s v="1.79M"/>
    <n v="104668"/>
    <s v="286.23M"/>
    <n v="286230000"/>
    <n v="1790000"/>
    <n v="3.6567795129790727E-4"/>
    <n v="170"/>
    <x v="5"/>
    <n v="6.2430000000000003E-3"/>
    <x v="1"/>
    <x v="1"/>
    <n v="6.204531902206321E-3"/>
    <x v="1"/>
    <n v="6.1811881188118811E-3"/>
    <n v="4.3400000000000001E-2"/>
    <n v="5.9833237492811957E-3"/>
    <n v="-0.01"/>
    <n v="1.3200000000000002E-2"/>
    <x v="3"/>
  </r>
  <r>
    <x v="174"/>
    <x v="174"/>
    <n v="2.9459999999999998E-3"/>
    <n v="2.0199999999999999E-2"/>
    <s v="1.79M"/>
    <n v="619631"/>
    <s v="605.92M"/>
    <n v="605920000"/>
    <n v="1790000"/>
    <n v="1.022628399788751E-3"/>
    <n v="170"/>
    <x v="5"/>
    <n v="2.9459999999999998E-3"/>
    <x v="1"/>
    <x v="1"/>
    <n v="2.8876690844932365E-3"/>
    <x v="1"/>
    <n v="2.9168316831683166E-3"/>
    <n v="0.1414"/>
    <n v="2.5810408270544945E-3"/>
    <n v="-0.01"/>
    <n v="5.0533333333333326E-2"/>
    <x v="3"/>
  </r>
  <r>
    <x v="175"/>
    <x v="175"/>
    <n v="5.3220000000000003E-2"/>
    <n v="4.0000000000000002E-4"/>
    <s v="1.78M"/>
    <n v="79063"/>
    <s v="33.45M"/>
    <n v="33450000.000000004"/>
    <n v="1780000"/>
    <n v="2.3636173393124064E-3"/>
    <n v="176"/>
    <x v="5"/>
    <n v="5.3220000000000003E-2"/>
    <x v="1"/>
    <x v="1"/>
    <n v="5.3198720511795285E-2"/>
    <x v="1"/>
    <n v="5.2693069306930698E-2"/>
    <n v="2.8E-3"/>
    <n v="5.3071400079776634E-2"/>
    <n v="-0.01"/>
    <n v="2.2666666666666668E-3"/>
    <x v="2"/>
  </r>
  <r>
    <x v="176"/>
    <x v="176"/>
    <n v="8.4227999999999997E-2"/>
    <n v="6.9999999999999999E-4"/>
    <s v="1.78M"/>
    <n v="1692677"/>
    <s v="420.69T"/>
    <n v="420690000000000"/>
    <n v="1780000"/>
    <n v="4.0235731773990349E-9"/>
    <n v="176"/>
    <x v="5"/>
    <n v="8.4227999999999997E-2"/>
    <x v="1"/>
    <x v="1"/>
    <n v="8.4169081642850002E-2"/>
    <x v="1"/>
    <n v="8.3394059405940593E-2"/>
    <n v="4.8999999999999998E-3"/>
    <n v="8.3817295253259039E-2"/>
    <n v="-0.01"/>
    <n v="1.4666666666666671E-3"/>
    <x v="2"/>
  </r>
  <r>
    <x v="177"/>
    <x v="177"/>
    <n v="6.8700000000000002E-3"/>
    <n v="8.6E-3"/>
    <s v="1.77M"/>
    <n v="223765"/>
    <s v="258.22M"/>
    <n v="258220000.00000003"/>
    <n v="1770000"/>
    <n v="8.6656726822089683E-4"/>
    <n v="178"/>
    <x v="5"/>
    <n v="6.8700000000000002E-3"/>
    <x v="1"/>
    <x v="1"/>
    <n v="6.8114217727543135E-3"/>
    <x v="1"/>
    <n v="6.801980198019802E-3"/>
    <n v="6.0200000000000004E-2"/>
    <n v="6.4799094510469722E-3"/>
    <n v="-0.01"/>
    <n v="1.9600000000000003E-2"/>
    <x v="3"/>
  </r>
  <r>
    <x v="178"/>
    <x v="178"/>
    <n v="1.361E-4"/>
    <n v="5.0000000000000001E-4"/>
    <s v="1.44M"/>
    <n v="218501"/>
    <s v="10.55B"/>
    <n v="10550000000"/>
    <n v="1440000"/>
    <n v="2.0710995260663509E-5"/>
    <n v="179"/>
    <x v="5"/>
    <n v="1.361E-4"/>
    <x v="1"/>
    <x v="1"/>
    <n v="1.3603198400799602E-4"/>
    <x v="1"/>
    <n v="1.3475247524752476E-4"/>
    <n v="3.5000000000000001E-3"/>
    <n v="1.3562531141006476E-4"/>
    <n v="-0.01"/>
    <n v="2E-3"/>
    <x v="3"/>
  </r>
  <r>
    <x v="179"/>
    <x v="179"/>
    <n v="3.7690000000000002E-3"/>
    <n v="0"/>
    <s v="1.43M"/>
    <n v="68"/>
    <s v="380.1M"/>
    <n v="380100000"/>
    <n v="1430000"/>
    <n v="1.7890028939752697E-7"/>
    <n v="180"/>
    <x v="5"/>
    <n v="3.7690000000000002E-3"/>
    <x v="1"/>
    <x v="1"/>
    <n v="3.7690000000000002E-3"/>
    <x v="1"/>
    <n v="3.7316831683168318E-3"/>
    <n v="0"/>
    <n v="3.7690000000000002E-3"/>
    <n v="-0.01"/>
    <n v="3.3333333333333335E-3"/>
    <x v="3"/>
  </r>
  <r>
    <x v="180"/>
    <x v="180"/>
    <n v="3.8949999999999998E-4"/>
    <n v="2.3E-3"/>
    <s v="1.42M"/>
    <n v="63221"/>
    <s v="3.65B"/>
    <n v="3650000000"/>
    <n v="1420000"/>
    <n v="1.7320821917808218E-5"/>
    <n v="181"/>
    <x v="5"/>
    <n v="3.8949999999999998E-4"/>
    <x v="1"/>
    <x v="1"/>
    <n v="3.8860620572682831E-4"/>
    <x v="1"/>
    <n v="3.8564356435643563E-4"/>
    <n v="1.61E-2"/>
    <n v="3.8332841255781907E-4"/>
    <n v="-0.01"/>
    <n v="2.8E-3"/>
    <x v="3"/>
  </r>
  <r>
    <x v="181"/>
    <x v="181"/>
    <n v="5.4579999999999997E-2"/>
    <n v="1E-4"/>
    <s v="1.42M"/>
    <n v="1"/>
    <s v="26.09M"/>
    <n v="26090000"/>
    <n v="1420000"/>
    <n v="3.8328861632809504E-8"/>
    <n v="181"/>
    <x v="5"/>
    <n v="5.4579999999999997E-2"/>
    <x v="0"/>
    <x v="1"/>
    <n v="5.4574542545745425E-2"/>
    <x v="1"/>
    <n v="5.4039603960396039E-2"/>
    <n v="6.9999999999999999E-4"/>
    <n v="5.4541820725492157E-2"/>
    <n v="-0.01"/>
    <n v="3.0666666666666672E-3"/>
    <x v="2"/>
  </r>
  <r>
    <x v="182"/>
    <x v="182"/>
    <n v="7.4960000000000001E-3"/>
    <n v="3.2000000000000002E-3"/>
    <s v="1.42M"/>
    <n v="60151"/>
    <s v="190M"/>
    <n v="190000000"/>
    <n v="1420000"/>
    <n v="3.165842105263158E-4"/>
    <n v="181"/>
    <x v="5"/>
    <n v="7.4960000000000001E-3"/>
    <x v="1"/>
    <x v="1"/>
    <n v="7.4720893141945769E-3"/>
    <x v="1"/>
    <n v="7.4217821782178216E-3"/>
    <n v="2.24E-2"/>
    <n v="7.3317683881064166E-3"/>
    <n v="-0.01"/>
    <n v="5.1999999999999998E-3"/>
    <x v="3"/>
  </r>
  <r>
    <x v="183"/>
    <x v="183"/>
    <n v="1.4239999999999999E-3"/>
    <n v="6.4000000000000003E-3"/>
    <s v="1.42M"/>
    <n v="218025"/>
    <s v="999.92M"/>
    <n v="999920000"/>
    <n v="1420000"/>
    <n v="2.1804244339547165E-4"/>
    <n v="181"/>
    <x v="5"/>
    <n v="1.4239999999999999E-3"/>
    <x v="1"/>
    <x v="1"/>
    <n v="1.4149443561208266E-3"/>
    <x v="1"/>
    <n v="1.4099009900990099E-3"/>
    <n v="4.48E-2"/>
    <n v="1.3629402756508422E-3"/>
    <n v="-0.01"/>
    <n v="1.3733333333333334E-2"/>
    <x v="3"/>
  </r>
  <r>
    <x v="184"/>
    <x v="184"/>
    <n v="4.1879999999999999E-3"/>
    <n v="1.1599999999999999E-2"/>
    <s v="1.42M"/>
    <n v="79944"/>
    <s v="339.99M"/>
    <n v="339990000"/>
    <n v="1420000"/>
    <n v="2.3513632753904528E-4"/>
    <n v="181"/>
    <x v="5"/>
    <n v="4.1879999999999999E-3"/>
    <x v="1"/>
    <x v="1"/>
    <n v="4.1399762752075912E-3"/>
    <x v="1"/>
    <n v="4.1465346534653464E-3"/>
    <n v="8.1199999999999994E-2"/>
    <n v="3.8734739178690344E-3"/>
    <n v="-0.01"/>
    <n v="2.76E-2"/>
    <x v="3"/>
  </r>
  <r>
    <x v="185"/>
    <x v="185"/>
    <n v="8.4999999999999995E-4"/>
    <n v="2.8999999999999998E-3"/>
    <s v="1.42M"/>
    <n v="6151"/>
    <s v="1.67B"/>
    <n v="1670000000"/>
    <n v="1420000"/>
    <n v="3.6832335329341319E-6"/>
    <n v="181"/>
    <x v="5"/>
    <n v="8.4999999999999995E-4"/>
    <x v="0"/>
    <x v="1"/>
    <n v="8.4754212782929507E-4"/>
    <x v="1"/>
    <n v="8.4158415841584157E-4"/>
    <n v="2.0299999999999999E-2"/>
    <n v="8.3308830736058019E-4"/>
    <n v="-0.01"/>
    <n v="4.3999999999999994E-3"/>
    <x v="3"/>
  </r>
  <r>
    <x v="186"/>
    <x v="186"/>
    <n v="1.1069999999999999E-3"/>
    <n v="4.1999999999999997E-3"/>
    <s v="1.42M"/>
    <n v="321945"/>
    <s v="1.28B"/>
    <n v="1280000000"/>
    <n v="1420000"/>
    <n v="2.5151953125000001E-4"/>
    <n v="181"/>
    <x v="5"/>
    <n v="1.1069999999999999E-3"/>
    <x v="1"/>
    <x v="1"/>
    <n v="1.102370045807608E-3"/>
    <x v="1"/>
    <n v="1.0960396039603958E-3"/>
    <n v="2.9399999999999999E-2"/>
    <n v="1.0753837186710704E-3"/>
    <n v="-0.01"/>
    <n v="7.8666666666666659E-3"/>
    <x v="3"/>
  </r>
  <r>
    <x v="187"/>
    <x v="187"/>
    <n v="6.6379999999999998E-3"/>
    <n v="2.5999999999999999E-3"/>
    <s v="1.42M"/>
    <n v="6106"/>
    <s v="213.36M"/>
    <n v="213360000"/>
    <n v="1420000"/>
    <n v="2.8618297712785901E-5"/>
    <n v="181"/>
    <x v="5"/>
    <n v="6.6379999999999998E-3"/>
    <x v="1"/>
    <x v="1"/>
    <n v="6.6207859565130664E-3"/>
    <x v="1"/>
    <n v="6.5722772277227717E-3"/>
    <n v="1.8200000000000001E-2"/>
    <n v="6.5193478687880571E-3"/>
    <n v="-0.01"/>
    <n v="3.6000000000000003E-3"/>
    <x v="3"/>
  </r>
  <r>
    <x v="188"/>
    <x v="188"/>
    <n v="103.16"/>
    <n v="2.5000000000000001E-3"/>
    <s v="1.19M"/>
    <n v="697513"/>
    <s v="11.51K"/>
    <n v="11510"/>
    <n v="1190000"/>
    <n v="60.600608166811469"/>
    <n v="189"/>
    <x v="0"/>
    <n v="103.16"/>
    <x v="1"/>
    <x v="0"/>
    <n v="102.90274314214464"/>
    <x v="0"/>
    <n v="102.13861386138613"/>
    <n v="1.7500000000000002E-2"/>
    <n v="101.38574938574938"/>
    <n v="-0.01"/>
    <n v="3.333333333333334E-3"/>
    <x v="0"/>
  </r>
  <r>
    <x v="189"/>
    <x v="189"/>
    <n v="1.18"/>
    <n v="5.0999999999999997E-2"/>
    <s v="1.19M"/>
    <n v="2719"/>
    <s v="1M"/>
    <n v="1000000"/>
    <n v="1190000"/>
    <n v="2.7190000000000001E-3"/>
    <n v="189"/>
    <x v="3"/>
    <n v="1.18"/>
    <x v="0"/>
    <x v="1"/>
    <n v="1.1227402473834442"/>
    <x v="1"/>
    <n v="1.1683168316831682"/>
    <n v="0.35699999999999998"/>
    <n v="0.86956521739130432"/>
    <n v="-0.01"/>
    <n v="0.13266666666666665"/>
    <x v="1"/>
  </r>
  <r>
    <x v="190"/>
    <x v="190"/>
    <n v="3.2660000000000002E-4"/>
    <n v="1.4500000000000001E-2"/>
    <s v="1.18M"/>
    <n v="107033"/>
    <s v="3.61B"/>
    <n v="3610000000"/>
    <n v="1180000"/>
    <n v="2.9649030470914129E-5"/>
    <n v="191"/>
    <x v="5"/>
    <n v="3.2660000000000002E-4"/>
    <x v="1"/>
    <x v="1"/>
    <n v="3.219319862000986E-4"/>
    <x v="1"/>
    <n v="3.2336633663366339E-4"/>
    <n v="0.10150000000000001"/>
    <n v="2.9650476622787114E-4"/>
    <n v="-0.01"/>
    <n v="3.5333333333333335E-2"/>
    <x v="3"/>
  </r>
  <r>
    <x v="191"/>
    <x v="191"/>
    <n v="0.12570000000000001"/>
    <n v="5.0000000000000001E-4"/>
    <s v="1.18M"/>
    <n v="76"/>
    <s v="9.37M"/>
    <n v="9370000"/>
    <n v="1180000"/>
    <n v="8.1109925293489854E-6"/>
    <n v="191"/>
    <x v="5"/>
    <n v="0.12570000000000001"/>
    <x v="0"/>
    <x v="1"/>
    <n v="0.12563718140929536"/>
    <x v="1"/>
    <n v="0.12445544554455445"/>
    <n v="3.5000000000000001E-3"/>
    <n v="0.12526158445440957"/>
    <n v="-0.01"/>
    <n v="2E-3"/>
    <x v="2"/>
  </r>
  <r>
    <x v="192"/>
    <x v="192"/>
    <n v="937.04"/>
    <n v="6.9999999999999999E-4"/>
    <s v="1.18M"/>
    <n v="1174159"/>
    <s v="1.25K"/>
    <n v="1250"/>
    <n v="1180000"/>
    <n v="939.32719999999995"/>
    <n v="191"/>
    <x v="0"/>
    <n v="937.04"/>
    <x v="1"/>
    <x v="0"/>
    <n v="936.38453082842011"/>
    <x v="0"/>
    <n v="927.7623762376237"/>
    <n v="4.8999999999999998E-3"/>
    <n v="932.47089262613201"/>
    <n v="-0.01"/>
    <n v="1.4666666666666671E-3"/>
    <x v="0"/>
  </r>
  <r>
    <x v="193"/>
    <x v="193"/>
    <n v="85.37"/>
    <n v="2.3E-3"/>
    <s v="1.18M"/>
    <n v="1358207"/>
    <s v="13.79K"/>
    <n v="13790"/>
    <n v="1180000"/>
    <n v="98.492168237853519"/>
    <n v="191"/>
    <x v="4"/>
    <n v="85.37"/>
    <x v="0"/>
    <x v="0"/>
    <n v="85.174099570986741"/>
    <x v="0"/>
    <n v="84.524752475247524"/>
    <n v="1.61E-2"/>
    <n v="84.017321129810057"/>
    <n v="-0.01"/>
    <n v="2.8E-3"/>
    <x v="0"/>
  </r>
  <r>
    <x v="194"/>
    <x v="194"/>
    <n v="2.6580000000000001E-4"/>
    <n v="3.7000000000000002E-3"/>
    <s v="1.18M"/>
    <n v="278212"/>
    <s v="4.42B"/>
    <n v="4420000000"/>
    <n v="1180000"/>
    <n v="6.2943891402714931E-5"/>
    <n v="191"/>
    <x v="5"/>
    <n v="2.6580000000000001E-4"/>
    <x v="0"/>
    <x v="1"/>
    <n v="2.6482016538806417E-4"/>
    <x v="1"/>
    <n v="2.6316831683168316E-4"/>
    <n v="2.5899999999999999E-2"/>
    <n v="2.5908957988108E-4"/>
    <n v="-0.01"/>
    <n v="6.5333333333333328E-3"/>
    <x v="3"/>
  </r>
  <r>
    <x v="195"/>
    <x v="195"/>
    <n v="4.7080000000000004E-3"/>
    <n v="8.3000000000000001E-3"/>
    <s v="1.18M"/>
    <n v="80181"/>
    <s v="249.89M"/>
    <n v="249890000"/>
    <n v="1180000"/>
    <n v="3.2086518067949896E-4"/>
    <n v="191"/>
    <x v="5"/>
    <n v="4.7080000000000004E-3"/>
    <x v="1"/>
    <x v="1"/>
    <n v="4.6692452643062581E-3"/>
    <x v="1"/>
    <n v="4.6613861386138617E-3"/>
    <n v="5.8099999999999999E-2"/>
    <n v="4.4494849258104154E-3"/>
    <n v="-0.01"/>
    <n v="1.8800000000000001E-2"/>
    <x v="3"/>
  </r>
  <r>
    <x v="196"/>
    <x v="196"/>
    <n v="1.6000000000000001E-3"/>
    <n v="6.1999999999999998E-3"/>
    <s v="1.17M"/>
    <n v="63262"/>
    <s v="733.64M"/>
    <n v="733640000"/>
    <n v="1170000"/>
    <n v="8.6230303691183684E-5"/>
    <n v="197"/>
    <x v="5"/>
    <n v="1.6000000000000001E-3"/>
    <x v="1"/>
    <x v="1"/>
    <n v="1.5901411250248462E-3"/>
    <x v="1"/>
    <n v="1.5841584158415843E-3"/>
    <n v="4.3400000000000001E-2"/>
    <n v="1.5334483419589802E-3"/>
    <n v="-0.01"/>
    <n v="1.3200000000000002E-2"/>
    <x v="3"/>
  </r>
  <r>
    <x v="197"/>
    <x v="197"/>
    <n v="1.846E-3"/>
    <n v="2.9999999999999997E-4"/>
    <s v="1.17M"/>
    <n v="752739"/>
    <s v="635.71M"/>
    <n v="635710000"/>
    <n v="1170000"/>
    <n v="1.1840918028660867E-3"/>
    <n v="197"/>
    <x v="5"/>
    <n v="1.846E-3"/>
    <x v="0"/>
    <x v="1"/>
    <n v="1.8454463660901731E-3"/>
    <x v="1"/>
    <n v="1.8277227722772278E-3"/>
    <n v="2.0999999999999999E-3"/>
    <n v="1.84213152380002E-3"/>
    <n v="-0.01"/>
    <n v="2.5333333333333336E-3"/>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8F9927-C4AF-4071-A5DC-1280CCBA9F1A}" name="PivotTable4"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rowHeaderCaption="Coin Name">
  <location ref="A34:B40" firstHeaderRow="1" firstDataRow="1" firstDataCol="1"/>
  <pivotFields count="23">
    <pivotField axis="axisRow" showAll="0" sortType="descending">
      <items count="199">
        <item x="130"/>
        <item x="193"/>
        <item x="104"/>
        <item x="94"/>
        <item x="142"/>
        <item x="106"/>
        <item x="158"/>
        <item x="38"/>
        <item x="76"/>
        <item x="80"/>
        <item x="101"/>
        <item x="141"/>
        <item x="31"/>
        <item x="64"/>
        <item x="172"/>
        <item x="100"/>
        <item x="143"/>
        <item x="27"/>
        <item x="185"/>
        <item x="194"/>
        <item x="1"/>
        <item x="96"/>
        <item x="82"/>
        <item x="5"/>
        <item x="98"/>
        <item x="74"/>
        <item x="116"/>
        <item x="18"/>
        <item x="25"/>
        <item x="54"/>
        <item x="126"/>
        <item x="148"/>
        <item x="78"/>
        <item x="10"/>
        <item x="152"/>
        <item x="66"/>
        <item x="197"/>
        <item x="43"/>
        <item x="0"/>
        <item x="71"/>
        <item x="120"/>
        <item x="115"/>
        <item x="121"/>
        <item x="13"/>
        <item x="150"/>
        <item x="136"/>
        <item x="181"/>
        <item x="155"/>
        <item x="9"/>
        <item x="50"/>
        <item x="17"/>
        <item x="145"/>
        <item x="102"/>
        <item x="53"/>
        <item x="15"/>
        <item x="2"/>
        <item x="22"/>
        <item x="114"/>
        <item x="139"/>
        <item x="11"/>
        <item x="173"/>
        <item x="37"/>
        <item x="85"/>
        <item x="105"/>
        <item x="156"/>
        <item x="87"/>
        <item x="91"/>
        <item x="107"/>
        <item x="168"/>
        <item x="28"/>
        <item x="58"/>
        <item x="33"/>
        <item x="19"/>
        <item x="192"/>
        <item x="182"/>
        <item x="184"/>
        <item x="112"/>
        <item x="162"/>
        <item x="117"/>
        <item x="86"/>
        <item x="92"/>
        <item x="21"/>
        <item x="95"/>
        <item x="111"/>
        <item x="55"/>
        <item x="191"/>
        <item x="108"/>
        <item x="16"/>
        <item x="59"/>
        <item x="67"/>
        <item x="26"/>
        <item x="125"/>
        <item x="61"/>
        <item x="171"/>
        <item x="62"/>
        <item x="23"/>
        <item x="179"/>
        <item x="157"/>
        <item x="88"/>
        <item x="151"/>
        <item x="127"/>
        <item x="46"/>
        <item x="42"/>
        <item x="51"/>
        <item x="97"/>
        <item x="48"/>
        <item x="163"/>
        <item x="131"/>
        <item x="124"/>
        <item x="99"/>
        <item x="140"/>
        <item x="36"/>
        <item x="34"/>
        <item x="160"/>
        <item x="175"/>
        <item x="174"/>
        <item x="83"/>
        <item x="147"/>
        <item x="129"/>
        <item x="154"/>
        <item x="169"/>
        <item x="118"/>
        <item x="75"/>
        <item x="24"/>
        <item x="40"/>
        <item x="103"/>
        <item x="63"/>
        <item x="57"/>
        <item x="72"/>
        <item x="110"/>
        <item x="81"/>
        <item x="69"/>
        <item x="178"/>
        <item x="90"/>
        <item x="176"/>
        <item x="187"/>
        <item x="138"/>
        <item x="170"/>
        <item x="164"/>
        <item x="128"/>
        <item x="84"/>
        <item x="52"/>
        <item x="167"/>
        <item x="122"/>
        <item x="137"/>
        <item x="113"/>
        <item x="119"/>
        <item x="183"/>
        <item x="49"/>
        <item x="77"/>
        <item x="20"/>
        <item x="195"/>
        <item x="93"/>
        <item x="153"/>
        <item x="166"/>
        <item x="188"/>
        <item x="68"/>
        <item x="180"/>
        <item x="134"/>
        <item x="190"/>
        <item x="161"/>
        <item x="149"/>
        <item x="7"/>
        <item x="123"/>
        <item x="60"/>
        <item x="47"/>
        <item x="177"/>
        <item x="133"/>
        <item x="41"/>
        <item x="12"/>
        <item x="73"/>
        <item x="79"/>
        <item x="159"/>
        <item x="165"/>
        <item x="39"/>
        <item x="3"/>
        <item x="30"/>
        <item x="35"/>
        <item x="8"/>
        <item x="189"/>
        <item x="132"/>
        <item x="6"/>
        <item x="29"/>
        <item x="196"/>
        <item x="89"/>
        <item x="109"/>
        <item x="56"/>
        <item x="45"/>
        <item x="135"/>
        <item x="186"/>
        <item x="65"/>
        <item x="32"/>
        <item x="4"/>
        <item x="146"/>
        <item x="44"/>
        <item x="70"/>
        <item x="144"/>
        <item x="14"/>
        <item t="default"/>
      </items>
      <autoSortScope>
        <pivotArea dataOnly="0" outline="0" fieldPosition="0">
          <references count="1">
            <reference field="4294967294" count="1" selected="0">
              <x v="0"/>
            </reference>
          </references>
        </pivotArea>
      </autoSortScope>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f="1" x="198"/>
        <item f="1" x="199"/>
        <item f="1" x="200"/>
        <item f="1" x="201"/>
        <item f="1" x="202"/>
        <item f="1" x="203"/>
        <item f="1" x="204"/>
        <item f="1" x="205"/>
        <item f="1" x="206"/>
        <item f="1" x="207"/>
        <item t="default"/>
      </items>
    </pivotField>
    <pivotField showAll="0"/>
    <pivotField showAll="0"/>
    <pivotField showAll="0"/>
    <pivotField showAll="0"/>
    <pivotField showAll="0"/>
    <pivotField showAll="0"/>
    <pivotField dataField="1" showAll="0"/>
    <pivotField showAll="0"/>
    <pivotField showAll="0"/>
    <pivotField showAll="0">
      <items count="8">
        <item h="1" x="2"/>
        <item h="1" x="5"/>
        <item h="1" x="1"/>
        <item h="1" x="0"/>
        <item h="1" x="4"/>
        <item x="3"/>
        <item h="1" x="6"/>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6">
    <i>
      <x v="192"/>
    </i>
    <i>
      <x v="123"/>
    </i>
    <i>
      <x v="130"/>
    </i>
    <i>
      <x v="67"/>
    </i>
    <i>
      <x v="179"/>
    </i>
    <i t="grand">
      <x/>
    </i>
  </rowItems>
  <colItems count="1">
    <i/>
  </colItems>
  <dataFields count="1">
    <dataField name="Sum of   Market Cap"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86DAC4-61EA-4AE9-A34B-E7991B722199}" name="PivotTable7"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rowHeaderCaption="Coin Name">
  <location ref="I52:I53" firstHeaderRow="1" firstDataRow="1" firstDataCol="0"/>
  <pivotFields count="23">
    <pivotField showAll="0"/>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f="1" x="198"/>
        <item f="1" x="199"/>
        <item f="1" x="200"/>
        <item f="1" x="201"/>
        <item f="1" x="202"/>
        <item f="1" x="203"/>
        <item f="1" x="204"/>
        <item f="1" x="205"/>
        <item f="1" x="206"/>
        <item f="1" x="207"/>
        <item t="default"/>
      </items>
    </pivotField>
    <pivotField showAll="0"/>
    <pivotField showAll="0"/>
    <pivotField showAll="0"/>
    <pivotField showAll="0"/>
    <pivotField showAll="0"/>
    <pivotField dataField="1" showAll="0"/>
    <pivotField showAll="0"/>
    <pivotField showAll="0"/>
    <pivotField showAll="0"/>
    <pivotField showAll="0">
      <items count="8">
        <item h="1" x="2"/>
        <item h="1" x="5"/>
        <item h="1" x="1"/>
        <item h="1" x="0"/>
        <item h="1" x="4"/>
        <item x="3"/>
        <item h="1" x="6"/>
        <item t="default"/>
      </items>
    </pivotField>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Circulating_Supply($)" fld="7" baseField="0" baseItem="0" numFmtId="3"/>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DFD05A-6381-4BC4-8CFC-013919DBD9FE}" name="PivotTable2"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rowHeaderCaption="Coin Name">
  <location ref="A18:B24" firstHeaderRow="1" firstDataRow="1" firstDataCol="1"/>
  <pivotFields count="23">
    <pivotField axis="axisRow" showAll="0" measureFilter="1">
      <items count="199">
        <item x="130"/>
        <item x="193"/>
        <item x="104"/>
        <item x="94"/>
        <item x="142"/>
        <item x="106"/>
        <item x="158"/>
        <item x="38"/>
        <item x="76"/>
        <item x="80"/>
        <item x="101"/>
        <item x="141"/>
        <item x="31"/>
        <item x="64"/>
        <item x="172"/>
        <item x="100"/>
        <item x="143"/>
        <item x="27"/>
        <item x="185"/>
        <item x="194"/>
        <item x="1"/>
        <item x="96"/>
        <item x="82"/>
        <item x="5"/>
        <item x="98"/>
        <item x="74"/>
        <item x="116"/>
        <item x="18"/>
        <item x="25"/>
        <item x="54"/>
        <item x="126"/>
        <item x="148"/>
        <item x="78"/>
        <item x="10"/>
        <item x="152"/>
        <item x="66"/>
        <item x="197"/>
        <item x="43"/>
        <item x="0"/>
        <item x="71"/>
        <item x="120"/>
        <item x="115"/>
        <item x="121"/>
        <item x="13"/>
        <item x="150"/>
        <item x="136"/>
        <item x="181"/>
        <item x="155"/>
        <item x="9"/>
        <item x="50"/>
        <item x="17"/>
        <item x="145"/>
        <item x="102"/>
        <item x="53"/>
        <item x="15"/>
        <item x="2"/>
        <item x="22"/>
        <item x="114"/>
        <item x="139"/>
        <item x="11"/>
        <item x="173"/>
        <item x="37"/>
        <item x="85"/>
        <item x="105"/>
        <item x="156"/>
        <item x="87"/>
        <item x="91"/>
        <item x="107"/>
        <item x="168"/>
        <item x="28"/>
        <item x="58"/>
        <item x="33"/>
        <item x="19"/>
        <item x="192"/>
        <item x="182"/>
        <item x="184"/>
        <item x="112"/>
        <item x="162"/>
        <item x="117"/>
        <item x="86"/>
        <item x="92"/>
        <item x="21"/>
        <item x="95"/>
        <item x="111"/>
        <item x="55"/>
        <item x="191"/>
        <item x="108"/>
        <item x="16"/>
        <item x="59"/>
        <item x="67"/>
        <item x="26"/>
        <item x="125"/>
        <item x="61"/>
        <item x="171"/>
        <item x="62"/>
        <item x="23"/>
        <item x="179"/>
        <item x="157"/>
        <item x="88"/>
        <item x="151"/>
        <item x="127"/>
        <item x="46"/>
        <item x="42"/>
        <item x="51"/>
        <item x="97"/>
        <item x="48"/>
        <item x="163"/>
        <item x="131"/>
        <item x="124"/>
        <item x="99"/>
        <item x="140"/>
        <item x="36"/>
        <item x="34"/>
        <item x="160"/>
        <item x="175"/>
        <item x="174"/>
        <item x="83"/>
        <item x="147"/>
        <item x="129"/>
        <item x="154"/>
        <item x="169"/>
        <item x="118"/>
        <item x="75"/>
        <item x="24"/>
        <item x="40"/>
        <item x="103"/>
        <item x="63"/>
        <item x="57"/>
        <item x="72"/>
        <item x="110"/>
        <item x="81"/>
        <item x="69"/>
        <item x="178"/>
        <item x="90"/>
        <item x="176"/>
        <item x="187"/>
        <item x="138"/>
        <item x="170"/>
        <item x="164"/>
        <item x="128"/>
        <item x="84"/>
        <item x="52"/>
        <item x="167"/>
        <item x="122"/>
        <item x="137"/>
        <item x="113"/>
        <item x="119"/>
        <item x="183"/>
        <item x="49"/>
        <item x="77"/>
        <item x="20"/>
        <item x="195"/>
        <item x="93"/>
        <item x="153"/>
        <item x="166"/>
        <item x="188"/>
        <item x="68"/>
        <item x="180"/>
        <item x="134"/>
        <item x="190"/>
        <item x="161"/>
        <item x="149"/>
        <item x="7"/>
        <item x="123"/>
        <item x="60"/>
        <item x="47"/>
        <item x="177"/>
        <item x="133"/>
        <item x="41"/>
        <item x="12"/>
        <item x="73"/>
        <item x="79"/>
        <item x="159"/>
        <item x="165"/>
        <item x="39"/>
        <item x="3"/>
        <item x="30"/>
        <item x="35"/>
        <item x="8"/>
        <item x="189"/>
        <item x="132"/>
        <item x="6"/>
        <item x="29"/>
        <item x="196"/>
        <item x="89"/>
        <item x="109"/>
        <item x="56"/>
        <item x="45"/>
        <item x="135"/>
        <item x="186"/>
        <item x="65"/>
        <item x="32"/>
        <item x="4"/>
        <item x="146"/>
        <item x="44"/>
        <item x="70"/>
        <item x="144"/>
        <item x="14"/>
        <item t="default"/>
      </items>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f="1" x="198"/>
        <item f="1" x="199"/>
        <item f="1" x="200"/>
        <item f="1" x="201"/>
        <item f="1" x="202"/>
        <item f="1" x="203"/>
        <item f="1" x="204"/>
        <item f="1" x="205"/>
        <item f="1" x="206"/>
        <item f="1" x="207"/>
        <item t="default"/>
      </items>
    </pivotField>
    <pivotField showAll="0"/>
    <pivotField dataField="1" showAll="0"/>
    <pivotField showAll="0"/>
    <pivotField showAll="0"/>
    <pivotField showAll="0"/>
    <pivotField showAll="0"/>
    <pivotField showAll="0"/>
    <pivotField showAll="0"/>
    <pivotField showAll="0"/>
    <pivotField showAll="0">
      <items count="8">
        <item h="1" x="2"/>
        <item h="1" x="5"/>
        <item h="1" x="1"/>
        <item h="1" x="0"/>
        <item h="1" x="4"/>
        <item x="3"/>
        <item h="1" x="6"/>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6">
    <i>
      <x v="67"/>
    </i>
    <i>
      <x v="123"/>
    </i>
    <i>
      <x v="130"/>
    </i>
    <i>
      <x v="179"/>
    </i>
    <i>
      <x v="192"/>
    </i>
    <i t="grand">
      <x/>
    </i>
  </rowItems>
  <colItems count="1">
    <i/>
  </colItems>
  <dataFields count="1">
    <dataField name="Sum of 1h Change (%)" fld="3" baseField="0" baseItem="0"/>
  </dataFields>
  <chartFormats count="4">
    <chartFormat chart="19"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4" format="3"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706B432-F9F2-4CA0-A74D-A314C5796BB1}" name="PivotTable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M2:O8" firstHeaderRow="0" firstDataRow="1" firstDataCol="1"/>
  <pivotFields count="23">
    <pivotField axis="axisRow" showAll="0" measureFilter="1">
      <items count="199">
        <item x="130"/>
        <item x="193"/>
        <item x="104"/>
        <item x="94"/>
        <item x="142"/>
        <item x="106"/>
        <item x="158"/>
        <item x="38"/>
        <item x="76"/>
        <item x="80"/>
        <item x="101"/>
        <item x="141"/>
        <item x="31"/>
        <item x="64"/>
        <item x="172"/>
        <item x="100"/>
        <item x="143"/>
        <item x="27"/>
        <item x="185"/>
        <item x="194"/>
        <item x="1"/>
        <item x="96"/>
        <item x="82"/>
        <item x="5"/>
        <item x="98"/>
        <item x="74"/>
        <item x="116"/>
        <item x="18"/>
        <item x="25"/>
        <item x="54"/>
        <item x="126"/>
        <item x="148"/>
        <item x="78"/>
        <item x="10"/>
        <item x="152"/>
        <item x="66"/>
        <item x="197"/>
        <item x="43"/>
        <item x="0"/>
        <item x="71"/>
        <item x="120"/>
        <item x="115"/>
        <item x="121"/>
        <item x="13"/>
        <item x="150"/>
        <item x="136"/>
        <item x="181"/>
        <item x="155"/>
        <item x="9"/>
        <item x="50"/>
        <item x="17"/>
        <item x="145"/>
        <item x="102"/>
        <item x="53"/>
        <item x="15"/>
        <item x="2"/>
        <item x="22"/>
        <item x="114"/>
        <item x="139"/>
        <item x="11"/>
        <item x="173"/>
        <item x="37"/>
        <item x="85"/>
        <item x="105"/>
        <item x="156"/>
        <item x="87"/>
        <item x="91"/>
        <item x="107"/>
        <item x="168"/>
        <item x="28"/>
        <item x="58"/>
        <item x="33"/>
        <item x="19"/>
        <item x="192"/>
        <item x="182"/>
        <item x="184"/>
        <item x="112"/>
        <item x="162"/>
        <item x="117"/>
        <item x="86"/>
        <item x="92"/>
        <item x="21"/>
        <item x="95"/>
        <item x="111"/>
        <item x="55"/>
        <item x="191"/>
        <item x="108"/>
        <item x="16"/>
        <item x="59"/>
        <item x="67"/>
        <item x="26"/>
        <item x="125"/>
        <item x="61"/>
        <item x="171"/>
        <item x="62"/>
        <item x="23"/>
        <item x="179"/>
        <item x="157"/>
        <item x="88"/>
        <item x="151"/>
        <item x="127"/>
        <item x="46"/>
        <item x="42"/>
        <item x="51"/>
        <item x="97"/>
        <item x="48"/>
        <item x="163"/>
        <item x="131"/>
        <item x="124"/>
        <item x="99"/>
        <item x="140"/>
        <item x="36"/>
        <item x="34"/>
        <item x="160"/>
        <item x="175"/>
        <item x="174"/>
        <item x="83"/>
        <item x="147"/>
        <item x="129"/>
        <item x="154"/>
        <item x="169"/>
        <item x="118"/>
        <item x="75"/>
        <item x="24"/>
        <item x="40"/>
        <item x="103"/>
        <item x="63"/>
        <item x="57"/>
        <item x="72"/>
        <item x="110"/>
        <item x="81"/>
        <item x="69"/>
        <item x="178"/>
        <item x="90"/>
        <item x="176"/>
        <item x="187"/>
        <item x="138"/>
        <item x="170"/>
        <item x="164"/>
        <item x="128"/>
        <item x="84"/>
        <item x="52"/>
        <item x="167"/>
        <item x="122"/>
        <item x="137"/>
        <item x="113"/>
        <item x="119"/>
        <item x="183"/>
        <item x="49"/>
        <item x="77"/>
        <item x="20"/>
        <item x="195"/>
        <item x="93"/>
        <item x="153"/>
        <item x="166"/>
        <item x="188"/>
        <item x="68"/>
        <item x="180"/>
        <item x="134"/>
        <item x="190"/>
        <item x="161"/>
        <item x="149"/>
        <item x="7"/>
        <item x="123"/>
        <item x="60"/>
        <item x="47"/>
        <item x="177"/>
        <item x="133"/>
        <item x="41"/>
        <item x="12"/>
        <item x="73"/>
        <item x="79"/>
        <item x="159"/>
        <item x="165"/>
        <item x="39"/>
        <item x="3"/>
        <item x="30"/>
        <item x="35"/>
        <item x="8"/>
        <item x="189"/>
        <item x="132"/>
        <item x="6"/>
        <item x="29"/>
        <item x="196"/>
        <item x="89"/>
        <item x="109"/>
        <item x="56"/>
        <item x="45"/>
        <item x="135"/>
        <item x="186"/>
        <item x="65"/>
        <item x="32"/>
        <item x="4"/>
        <item x="146"/>
        <item x="44"/>
        <item x="70"/>
        <item x="144"/>
        <item x="14"/>
        <item t="default"/>
      </items>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f="1" x="198"/>
        <item f="1" x="199"/>
        <item f="1" x="200"/>
        <item f="1" x="201"/>
        <item f="1" x="202"/>
        <item f="1" x="203"/>
        <item f="1" x="204"/>
        <item f="1" x="205"/>
        <item f="1" x="206"/>
        <item f="1" x="207"/>
        <item t="default"/>
      </items>
    </pivotField>
    <pivotField dataField="1" showAll="0"/>
    <pivotField showAll="0"/>
    <pivotField showAll="0"/>
    <pivotField showAll="0"/>
    <pivotField showAll="0"/>
    <pivotField showAll="0"/>
    <pivotField showAll="0"/>
    <pivotField dataField="1" showAll="0"/>
    <pivotField showAll="0"/>
    <pivotField showAll="0">
      <items count="8">
        <item h="1" x="2"/>
        <item h="1" x="5"/>
        <item h="1" x="1"/>
        <item h="1" x="0"/>
        <item h="1" x="4"/>
        <item x="3"/>
        <item h="1" x="6"/>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6">
    <i>
      <x v="67"/>
    </i>
    <i>
      <x v="123"/>
    </i>
    <i>
      <x v="130"/>
    </i>
    <i>
      <x v="179"/>
    </i>
    <i>
      <x v="192"/>
    </i>
    <i t="grand">
      <x/>
    </i>
  </rowItems>
  <colFields count="1">
    <field x="-2"/>
  </colFields>
  <colItems count="2">
    <i>
      <x/>
    </i>
    <i i="1">
      <x v="1"/>
    </i>
  </colItems>
  <dataFields count="2">
    <dataField name="Dollar Volume per Supply" fld="9" baseField="0" baseItem="1"/>
    <dataField name="  Price(USD)" fld="2" baseField="0" baseItem="1"/>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18D77FE-D5A3-4332-B8B4-5FC47DD8A09C}" name="PivotTable10"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I69:J80" firstHeaderRow="1" firstDataRow="1" firstDataCol="1" rowPageCount="1" colPageCount="1"/>
  <pivotFields count="23">
    <pivotField axis="axisRow" showAll="0" measureFilter="1">
      <items count="199">
        <item x="130"/>
        <item x="193"/>
        <item x="104"/>
        <item x="94"/>
        <item x="142"/>
        <item x="106"/>
        <item x="158"/>
        <item x="38"/>
        <item x="76"/>
        <item x="80"/>
        <item x="101"/>
        <item x="141"/>
        <item x="31"/>
        <item x="64"/>
        <item x="172"/>
        <item x="100"/>
        <item x="143"/>
        <item x="27"/>
        <item x="185"/>
        <item x="194"/>
        <item x="1"/>
        <item x="96"/>
        <item x="82"/>
        <item x="5"/>
        <item x="98"/>
        <item x="74"/>
        <item x="116"/>
        <item x="18"/>
        <item x="25"/>
        <item x="54"/>
        <item x="126"/>
        <item x="148"/>
        <item x="78"/>
        <item x="10"/>
        <item x="152"/>
        <item x="66"/>
        <item x="197"/>
        <item x="43"/>
        <item x="0"/>
        <item x="71"/>
        <item x="120"/>
        <item x="115"/>
        <item x="121"/>
        <item x="13"/>
        <item x="150"/>
        <item x="136"/>
        <item x="181"/>
        <item x="155"/>
        <item x="9"/>
        <item x="50"/>
        <item x="17"/>
        <item x="145"/>
        <item x="102"/>
        <item x="53"/>
        <item x="15"/>
        <item x="2"/>
        <item x="22"/>
        <item x="114"/>
        <item x="139"/>
        <item x="11"/>
        <item x="173"/>
        <item x="37"/>
        <item x="85"/>
        <item x="105"/>
        <item x="156"/>
        <item x="87"/>
        <item x="91"/>
        <item x="107"/>
        <item x="168"/>
        <item x="28"/>
        <item x="58"/>
        <item x="33"/>
        <item x="19"/>
        <item x="192"/>
        <item x="182"/>
        <item x="184"/>
        <item x="112"/>
        <item x="162"/>
        <item x="117"/>
        <item x="86"/>
        <item x="92"/>
        <item x="21"/>
        <item x="95"/>
        <item x="111"/>
        <item x="55"/>
        <item x="191"/>
        <item x="108"/>
        <item x="16"/>
        <item x="59"/>
        <item x="67"/>
        <item x="26"/>
        <item x="125"/>
        <item x="61"/>
        <item x="171"/>
        <item x="62"/>
        <item x="23"/>
        <item x="179"/>
        <item x="157"/>
        <item x="88"/>
        <item x="151"/>
        <item x="127"/>
        <item x="46"/>
        <item x="42"/>
        <item x="51"/>
        <item x="97"/>
        <item x="48"/>
        <item x="163"/>
        <item x="131"/>
        <item x="124"/>
        <item x="99"/>
        <item x="140"/>
        <item x="36"/>
        <item x="34"/>
        <item x="160"/>
        <item x="175"/>
        <item x="174"/>
        <item x="83"/>
        <item x="147"/>
        <item x="129"/>
        <item x="154"/>
        <item x="169"/>
        <item x="118"/>
        <item x="75"/>
        <item x="24"/>
        <item x="40"/>
        <item x="103"/>
        <item x="63"/>
        <item x="57"/>
        <item x="72"/>
        <item x="110"/>
        <item x="81"/>
        <item x="69"/>
        <item x="178"/>
        <item x="90"/>
        <item x="176"/>
        <item x="187"/>
        <item x="138"/>
        <item x="170"/>
        <item x="164"/>
        <item x="128"/>
        <item x="84"/>
        <item x="52"/>
        <item x="167"/>
        <item x="122"/>
        <item x="137"/>
        <item x="113"/>
        <item x="119"/>
        <item x="183"/>
        <item x="49"/>
        <item x="77"/>
        <item x="20"/>
        <item x="195"/>
        <item x="93"/>
        <item x="153"/>
        <item x="166"/>
        <item x="188"/>
        <item x="68"/>
        <item x="180"/>
        <item x="134"/>
        <item x="190"/>
        <item x="161"/>
        <item x="149"/>
        <item x="7"/>
        <item x="123"/>
        <item x="60"/>
        <item x="47"/>
        <item x="177"/>
        <item x="133"/>
        <item x="41"/>
        <item x="12"/>
        <item x="73"/>
        <item x="79"/>
        <item x="159"/>
        <item x="165"/>
        <item x="39"/>
        <item x="3"/>
        <item x="30"/>
        <item x="35"/>
        <item x="8"/>
        <item x="189"/>
        <item x="132"/>
        <item x="6"/>
        <item x="29"/>
        <item x="196"/>
        <item x="89"/>
        <item x="109"/>
        <item x="56"/>
        <item x="45"/>
        <item x="135"/>
        <item x="186"/>
        <item x="65"/>
        <item x="32"/>
        <item x="4"/>
        <item x="146"/>
        <item x="44"/>
        <item x="70"/>
        <item x="144"/>
        <item x="14"/>
        <item t="default"/>
      </items>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f="1" x="198"/>
        <item f="1" x="207"/>
        <item f="1" x="199"/>
        <item f="1" x="200"/>
        <item f="1" x="201"/>
        <item f="1" x="202"/>
        <item f="1" x="203"/>
        <item f="1" x="204"/>
        <item f="1" x="205"/>
        <item f="1" x="206"/>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t="default"/>
      </items>
    </pivotField>
    <pivotField numFmtId="2" showAll="0"/>
    <pivotField showAll="0"/>
    <pivotField showAll="0"/>
    <pivotField dataField="1" showAll="0"/>
    <pivotField showAll="0"/>
    <pivotField showAll="0"/>
    <pivotField showAll="0"/>
    <pivotField showAll="0"/>
    <pivotField showAll="0"/>
    <pivotField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s>
  <rowFields count="1">
    <field x="0"/>
  </rowFields>
  <rowItems count="11">
    <i>
      <x v="20"/>
    </i>
    <i>
      <x v="23"/>
    </i>
    <i>
      <x v="27"/>
    </i>
    <i>
      <x v="33"/>
    </i>
    <i>
      <x v="43"/>
    </i>
    <i>
      <x v="48"/>
    </i>
    <i>
      <x v="54"/>
    </i>
    <i>
      <x v="55"/>
    </i>
    <i>
      <x v="124"/>
    </i>
    <i>
      <x v="181"/>
    </i>
    <i t="grand">
      <x/>
    </i>
  </rowItems>
  <colItems count="1">
    <i/>
  </colItems>
  <pageFields count="1">
    <pageField fld="13" item="1" hier="-1"/>
  </pageFields>
  <dataFields count="1">
    <dataField name="Sum of Volume (24h) USD" fld="5" baseField="0" baseItem="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CA5965E-8B03-4B44-A0FB-4D855B84FF6E}" name="PivotTable5"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rowHeaderCaption="Coin Name">
  <location ref="I48:I49" firstHeaderRow="1" firstDataRow="1" firstDataCol="0"/>
  <pivotFields count="23">
    <pivotField showAll="0" sortType="descending">
      <autoSortScope>
        <pivotArea dataOnly="0" outline="0" fieldPosition="0">
          <references count="1">
            <reference field="4294967294" count="1" selected="0">
              <x v="0"/>
            </reference>
          </references>
        </pivotArea>
      </autoSortScope>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f="1" x="198"/>
        <item f="1" x="199"/>
        <item f="1" x="200"/>
        <item f="1" x="201"/>
        <item f="1" x="202"/>
        <item f="1" x="203"/>
        <item f="1" x="204"/>
        <item f="1" x="205"/>
        <item f="1" x="206"/>
        <item f="1" x="207"/>
        <item t="default"/>
      </items>
    </pivotField>
    <pivotField showAll="0"/>
    <pivotField showAll="0"/>
    <pivotField showAll="0"/>
    <pivotField showAll="0"/>
    <pivotField showAll="0"/>
    <pivotField showAll="0"/>
    <pivotField dataField="1" showAll="0"/>
    <pivotField showAll="0"/>
    <pivotField showAll="0"/>
    <pivotField showAll="0">
      <items count="8">
        <item h="1" x="2"/>
        <item h="1" x="5"/>
        <item h="1" x="1"/>
        <item h="1" x="0"/>
        <item h="1" x="4"/>
        <item x="3"/>
        <item h="1" x="6"/>
        <item t="default"/>
      </items>
    </pivotField>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Market Cap" fld="8" baseField="0" baseItem="0" numFmtId="3"/>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5461C1D-B508-447D-BC0B-7EB1366682F8}" name="PivotTable8"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rowHeaderCaption="Coin Name">
  <location ref="F64:G70" firstHeaderRow="1" firstDataRow="1" firstDataCol="1"/>
  <pivotFields count="23">
    <pivotField axis="axisRow" showAll="0">
      <items count="199">
        <item x="130"/>
        <item x="193"/>
        <item x="104"/>
        <item x="94"/>
        <item x="142"/>
        <item x="106"/>
        <item x="158"/>
        <item x="38"/>
        <item x="76"/>
        <item x="80"/>
        <item x="101"/>
        <item x="141"/>
        <item x="31"/>
        <item x="64"/>
        <item x="172"/>
        <item x="100"/>
        <item x="143"/>
        <item x="27"/>
        <item x="185"/>
        <item x="194"/>
        <item x="1"/>
        <item x="96"/>
        <item x="82"/>
        <item x="5"/>
        <item x="98"/>
        <item x="74"/>
        <item x="116"/>
        <item x="18"/>
        <item x="25"/>
        <item x="54"/>
        <item x="126"/>
        <item x="148"/>
        <item x="78"/>
        <item x="10"/>
        <item x="152"/>
        <item x="66"/>
        <item x="197"/>
        <item x="43"/>
        <item x="0"/>
        <item x="71"/>
        <item x="120"/>
        <item x="115"/>
        <item x="121"/>
        <item x="13"/>
        <item x="150"/>
        <item x="136"/>
        <item x="181"/>
        <item x="155"/>
        <item x="9"/>
        <item x="50"/>
        <item x="17"/>
        <item x="145"/>
        <item x="102"/>
        <item x="53"/>
        <item x="15"/>
        <item x="2"/>
        <item x="22"/>
        <item x="114"/>
        <item x="139"/>
        <item x="11"/>
        <item x="173"/>
        <item x="37"/>
        <item x="85"/>
        <item x="105"/>
        <item x="156"/>
        <item x="87"/>
        <item x="91"/>
        <item x="107"/>
        <item x="168"/>
        <item x="28"/>
        <item x="58"/>
        <item x="33"/>
        <item x="19"/>
        <item x="192"/>
        <item x="182"/>
        <item x="184"/>
        <item x="112"/>
        <item x="162"/>
        <item x="117"/>
        <item x="86"/>
        <item x="92"/>
        <item x="21"/>
        <item x="95"/>
        <item x="111"/>
        <item x="55"/>
        <item x="191"/>
        <item x="108"/>
        <item x="16"/>
        <item x="59"/>
        <item x="67"/>
        <item x="26"/>
        <item x="125"/>
        <item x="61"/>
        <item x="171"/>
        <item x="62"/>
        <item x="23"/>
        <item x="179"/>
        <item x="157"/>
        <item x="88"/>
        <item x="151"/>
        <item x="127"/>
        <item x="46"/>
        <item x="42"/>
        <item x="51"/>
        <item x="97"/>
        <item x="48"/>
        <item x="163"/>
        <item x="131"/>
        <item x="124"/>
        <item x="99"/>
        <item x="140"/>
        <item x="36"/>
        <item x="34"/>
        <item x="160"/>
        <item x="175"/>
        <item x="174"/>
        <item x="83"/>
        <item x="147"/>
        <item x="129"/>
        <item x="154"/>
        <item x="169"/>
        <item x="118"/>
        <item x="75"/>
        <item x="24"/>
        <item x="40"/>
        <item x="103"/>
        <item x="63"/>
        <item x="57"/>
        <item x="72"/>
        <item x="110"/>
        <item x="81"/>
        <item x="69"/>
        <item x="178"/>
        <item x="90"/>
        <item x="176"/>
        <item x="187"/>
        <item x="138"/>
        <item x="170"/>
        <item x="164"/>
        <item x="128"/>
        <item x="84"/>
        <item x="52"/>
        <item x="167"/>
        <item x="122"/>
        <item x="137"/>
        <item x="113"/>
        <item x="119"/>
        <item x="183"/>
        <item x="49"/>
        <item x="77"/>
        <item x="20"/>
        <item x="195"/>
        <item x="93"/>
        <item x="153"/>
        <item x="166"/>
        <item x="188"/>
        <item x="68"/>
        <item x="180"/>
        <item x="134"/>
        <item x="190"/>
        <item x="161"/>
        <item x="149"/>
        <item x="7"/>
        <item x="123"/>
        <item x="60"/>
        <item x="47"/>
        <item x="177"/>
        <item x="133"/>
        <item x="41"/>
        <item x="12"/>
        <item x="73"/>
        <item x="79"/>
        <item x="159"/>
        <item x="165"/>
        <item x="39"/>
        <item x="3"/>
        <item x="30"/>
        <item x="35"/>
        <item x="8"/>
        <item x="189"/>
        <item x="132"/>
        <item x="6"/>
        <item x="29"/>
        <item x="196"/>
        <item x="89"/>
        <item x="109"/>
        <item x="56"/>
        <item x="45"/>
        <item x="135"/>
        <item x="186"/>
        <item x="65"/>
        <item x="32"/>
        <item x="4"/>
        <item x="146"/>
        <item x="44"/>
        <item x="70"/>
        <item x="144"/>
        <item x="14"/>
        <item t="default"/>
      </items>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f="1" x="198"/>
        <item f="1" x="199"/>
        <item f="1" x="200"/>
        <item f="1" x="201"/>
        <item f="1" x="202"/>
        <item f="1" x="203"/>
        <item f="1" x="204"/>
        <item f="1" x="205"/>
        <item f="1" x="206"/>
        <item f="1" x="207"/>
        <item t="default"/>
      </items>
    </pivotField>
    <pivotField dataField="1" showAll="0"/>
    <pivotField showAll="0"/>
    <pivotField showAll="0"/>
    <pivotField showAll="0"/>
    <pivotField showAll="0"/>
    <pivotField showAll="0"/>
    <pivotField showAll="0"/>
    <pivotField showAll="0"/>
    <pivotField showAll="0"/>
    <pivotField showAll="0">
      <items count="8">
        <item h="1" x="2"/>
        <item h="1" x="5"/>
        <item h="1" x="1"/>
        <item h="1" x="0"/>
        <item h="1" x="4"/>
        <item x="3"/>
        <item h="1" x="6"/>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6">
    <i>
      <x v="67"/>
    </i>
    <i>
      <x v="123"/>
    </i>
    <i>
      <x v="130"/>
    </i>
    <i>
      <x v="179"/>
    </i>
    <i>
      <x v="192"/>
    </i>
    <i t="grand">
      <x/>
    </i>
  </rowItems>
  <colItems count="1">
    <i/>
  </colItems>
  <dataFields count="1">
    <dataField name="Sum of Price(USD)" fld="2" baseField="0" baseItem="0"/>
  </dataFields>
  <conditionalFormats count="1">
    <conditionalFormat priority="2">
      <pivotAreas count="1">
        <pivotArea fieldPosition="0">
          <references count="1">
            <reference field="0" count="5">
              <x v="67"/>
              <x v="123"/>
              <x v="130"/>
              <x v="179"/>
              <x v="19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913489-91CE-4B60-8211-8E6E1B97818C}" name="PivotTable6"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rowHeaderCaption="Coin Name">
  <location ref="I50:I51" firstHeaderRow="1" firstDataRow="1" firstDataCol="0"/>
  <pivotFields count="23">
    <pivotField showAll="0"/>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f="1" x="198"/>
        <item f="1" x="199"/>
        <item f="1" x="200"/>
        <item f="1" x="201"/>
        <item f="1" x="202"/>
        <item f="1" x="203"/>
        <item f="1" x="204"/>
        <item f="1" x="205"/>
        <item f="1" x="206"/>
        <item f="1" x="207"/>
        <item t="default"/>
      </items>
    </pivotField>
    <pivotField dataField="1" showAll="0"/>
    <pivotField showAll="0"/>
    <pivotField showAll="0"/>
    <pivotField showAll="0"/>
    <pivotField showAll="0"/>
    <pivotField showAll="0"/>
    <pivotField showAll="0"/>
    <pivotField showAll="0"/>
    <pivotField showAll="0"/>
    <pivotField showAll="0">
      <items count="8">
        <item h="1" x="2"/>
        <item h="1" x="5"/>
        <item h="1" x="1"/>
        <item h="1" x="0"/>
        <item h="1" x="4"/>
        <item x="3"/>
        <item h="1" x="6"/>
        <item t="default"/>
      </items>
    </pivotField>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Price(USD)"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44EE8E5-2BFB-42A7-98CE-E1BF2667901F}"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rowHeaderCaption="Coin Name">
  <location ref="A2:B8" firstHeaderRow="1" firstDataRow="1" firstDataCol="1"/>
  <pivotFields count="23">
    <pivotField axis="axisRow" showAll="0" measureFilter="1" sortType="descending">
      <items count="199">
        <item x="130"/>
        <item x="193"/>
        <item x="104"/>
        <item x="94"/>
        <item x="142"/>
        <item x="106"/>
        <item x="158"/>
        <item x="38"/>
        <item x="76"/>
        <item x="80"/>
        <item x="101"/>
        <item x="141"/>
        <item x="31"/>
        <item x="64"/>
        <item x="172"/>
        <item x="100"/>
        <item x="143"/>
        <item x="27"/>
        <item x="185"/>
        <item x="194"/>
        <item x="1"/>
        <item x="96"/>
        <item x="82"/>
        <item x="5"/>
        <item x="98"/>
        <item x="74"/>
        <item x="116"/>
        <item x="18"/>
        <item x="25"/>
        <item x="54"/>
        <item x="126"/>
        <item x="148"/>
        <item x="78"/>
        <item x="10"/>
        <item x="152"/>
        <item x="66"/>
        <item x="197"/>
        <item x="43"/>
        <item x="0"/>
        <item x="71"/>
        <item x="120"/>
        <item x="115"/>
        <item x="121"/>
        <item x="13"/>
        <item x="150"/>
        <item x="136"/>
        <item x="181"/>
        <item x="155"/>
        <item x="9"/>
        <item x="50"/>
        <item x="17"/>
        <item x="145"/>
        <item x="102"/>
        <item x="53"/>
        <item x="15"/>
        <item x="2"/>
        <item x="22"/>
        <item x="114"/>
        <item x="139"/>
        <item x="11"/>
        <item x="173"/>
        <item x="37"/>
        <item x="85"/>
        <item x="105"/>
        <item x="156"/>
        <item x="87"/>
        <item x="91"/>
        <item x="107"/>
        <item x="168"/>
        <item x="28"/>
        <item x="58"/>
        <item x="33"/>
        <item x="19"/>
        <item x="192"/>
        <item x="182"/>
        <item x="184"/>
        <item x="112"/>
        <item x="162"/>
        <item x="117"/>
        <item x="86"/>
        <item x="92"/>
        <item x="21"/>
        <item x="95"/>
        <item x="111"/>
        <item x="55"/>
        <item x="191"/>
        <item x="108"/>
        <item x="16"/>
        <item x="59"/>
        <item x="67"/>
        <item x="26"/>
        <item x="125"/>
        <item x="61"/>
        <item x="171"/>
        <item x="62"/>
        <item x="23"/>
        <item x="179"/>
        <item x="157"/>
        <item x="88"/>
        <item x="151"/>
        <item x="127"/>
        <item x="46"/>
        <item x="42"/>
        <item x="51"/>
        <item x="97"/>
        <item x="48"/>
        <item x="163"/>
        <item x="131"/>
        <item x="124"/>
        <item x="99"/>
        <item x="140"/>
        <item x="36"/>
        <item x="34"/>
        <item x="160"/>
        <item x="175"/>
        <item x="174"/>
        <item x="83"/>
        <item x="147"/>
        <item x="129"/>
        <item x="154"/>
        <item x="169"/>
        <item x="118"/>
        <item x="75"/>
        <item x="24"/>
        <item x="40"/>
        <item x="103"/>
        <item x="63"/>
        <item x="57"/>
        <item x="72"/>
        <item x="110"/>
        <item x="81"/>
        <item x="69"/>
        <item x="178"/>
        <item x="90"/>
        <item x="176"/>
        <item x="187"/>
        <item x="138"/>
        <item x="170"/>
        <item x="164"/>
        <item x="128"/>
        <item x="84"/>
        <item x="52"/>
        <item x="167"/>
        <item x="122"/>
        <item x="137"/>
        <item x="113"/>
        <item x="119"/>
        <item x="183"/>
        <item x="49"/>
        <item x="77"/>
        <item x="20"/>
        <item x="195"/>
        <item x="93"/>
        <item x="153"/>
        <item x="166"/>
        <item x="188"/>
        <item x="68"/>
        <item x="180"/>
        <item x="134"/>
        <item x="190"/>
        <item x="161"/>
        <item x="149"/>
        <item x="7"/>
        <item x="123"/>
        <item x="60"/>
        <item x="47"/>
        <item x="177"/>
        <item x="133"/>
        <item x="41"/>
        <item x="12"/>
        <item x="73"/>
        <item x="79"/>
        <item x="159"/>
        <item x="165"/>
        <item x="39"/>
        <item x="3"/>
        <item x="30"/>
        <item x="35"/>
        <item x="8"/>
        <item x="189"/>
        <item x="132"/>
        <item x="6"/>
        <item x="29"/>
        <item x="196"/>
        <item x="89"/>
        <item x="109"/>
        <item x="56"/>
        <item x="45"/>
        <item x="135"/>
        <item x="186"/>
        <item x="65"/>
        <item x="32"/>
        <item x="4"/>
        <item x="146"/>
        <item x="44"/>
        <item x="70"/>
        <item x="144"/>
        <item x="14"/>
        <item t="default"/>
      </items>
      <autoSortScope>
        <pivotArea dataOnly="0" outline="0" fieldPosition="0">
          <references count="1">
            <reference field="4294967294" count="1" selected="0">
              <x v="0"/>
            </reference>
          </references>
        </pivotArea>
      </autoSortScope>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f="1" x="198"/>
        <item f="1" x="199"/>
        <item f="1" x="200"/>
        <item f="1" x="201"/>
        <item f="1" x="202"/>
        <item f="1" x="203"/>
        <item f="1" x="204"/>
        <item f="1" x="205"/>
        <item f="1" x="206"/>
        <item f="1" x="207"/>
        <item t="default"/>
      </items>
    </pivotField>
    <pivotField dataField="1" showAll="0"/>
    <pivotField showAll="0"/>
    <pivotField showAll="0"/>
    <pivotField showAll="0"/>
    <pivotField showAll="0"/>
    <pivotField showAll="0"/>
    <pivotField showAll="0"/>
    <pivotField showAll="0"/>
    <pivotField showAll="0"/>
    <pivotField showAll="0">
      <items count="8">
        <item h="1" x="2"/>
        <item h="1" x="5"/>
        <item h="1" x="1"/>
        <item h="1" x="0"/>
        <item h="1" x="4"/>
        <item x="3"/>
        <item h="1" x="6"/>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6">
    <i>
      <x v="192"/>
    </i>
    <i>
      <x v="67"/>
    </i>
    <i>
      <x v="179"/>
    </i>
    <i>
      <x v="130"/>
    </i>
    <i>
      <x v="123"/>
    </i>
    <i t="grand">
      <x/>
    </i>
  </rowItems>
  <colItems count="1">
    <i/>
  </colItems>
  <dataFields count="1">
    <dataField name="price" fld="2" baseField="0" baseItem="0"/>
  </dataFields>
  <chartFormats count="2">
    <chartFormat chart="2"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B7DF69B-2B73-402C-990A-90BC014B4679}"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rowPageCount="1" colPageCount="1"/>
  <pivotFields count="23">
    <pivotField axis="axisRow" showAll="0" measureFilter="1" sortType="descending">
      <items count="199">
        <item x="130"/>
        <item x="193"/>
        <item x="104"/>
        <item x="94"/>
        <item x="142"/>
        <item x="106"/>
        <item x="158"/>
        <item x="38"/>
        <item x="76"/>
        <item x="80"/>
        <item x="101"/>
        <item x="141"/>
        <item x="31"/>
        <item x="64"/>
        <item x="172"/>
        <item x="100"/>
        <item x="143"/>
        <item x="27"/>
        <item x="185"/>
        <item x="194"/>
        <item x="1"/>
        <item x="96"/>
        <item x="82"/>
        <item x="5"/>
        <item x="98"/>
        <item x="74"/>
        <item x="116"/>
        <item x="18"/>
        <item x="25"/>
        <item x="54"/>
        <item x="126"/>
        <item x="148"/>
        <item x="78"/>
        <item x="10"/>
        <item x="152"/>
        <item x="66"/>
        <item x="197"/>
        <item x="43"/>
        <item x="0"/>
        <item x="71"/>
        <item x="120"/>
        <item x="115"/>
        <item x="121"/>
        <item x="13"/>
        <item x="150"/>
        <item x="136"/>
        <item x="181"/>
        <item x="155"/>
        <item x="9"/>
        <item x="50"/>
        <item x="17"/>
        <item x="145"/>
        <item x="102"/>
        <item x="53"/>
        <item x="15"/>
        <item x="2"/>
        <item x="22"/>
        <item x="114"/>
        <item x="139"/>
        <item x="11"/>
        <item x="173"/>
        <item x="37"/>
        <item x="85"/>
        <item x="105"/>
        <item x="156"/>
        <item x="87"/>
        <item x="91"/>
        <item x="107"/>
        <item x="168"/>
        <item x="28"/>
        <item x="58"/>
        <item x="33"/>
        <item x="19"/>
        <item x="192"/>
        <item x="182"/>
        <item x="184"/>
        <item x="112"/>
        <item x="162"/>
        <item x="117"/>
        <item x="86"/>
        <item x="92"/>
        <item x="21"/>
        <item x="95"/>
        <item x="111"/>
        <item x="55"/>
        <item x="191"/>
        <item x="108"/>
        <item x="16"/>
        <item x="59"/>
        <item x="67"/>
        <item x="26"/>
        <item x="125"/>
        <item x="61"/>
        <item x="171"/>
        <item x="62"/>
        <item x="23"/>
        <item x="179"/>
        <item x="157"/>
        <item x="88"/>
        <item x="151"/>
        <item x="127"/>
        <item x="46"/>
        <item x="42"/>
        <item x="51"/>
        <item x="97"/>
        <item x="48"/>
        <item x="163"/>
        <item x="131"/>
        <item x="124"/>
        <item x="99"/>
        <item x="140"/>
        <item x="36"/>
        <item x="34"/>
        <item x="160"/>
        <item x="175"/>
        <item x="174"/>
        <item x="83"/>
        <item x="147"/>
        <item x="129"/>
        <item x="154"/>
        <item x="169"/>
        <item x="118"/>
        <item x="75"/>
        <item x="24"/>
        <item x="40"/>
        <item x="103"/>
        <item x="63"/>
        <item x="57"/>
        <item x="72"/>
        <item x="110"/>
        <item x="81"/>
        <item x="69"/>
        <item x="178"/>
        <item x="90"/>
        <item x="176"/>
        <item x="187"/>
        <item x="138"/>
        <item x="170"/>
        <item x="164"/>
        <item x="128"/>
        <item x="84"/>
        <item x="52"/>
        <item x="167"/>
        <item x="122"/>
        <item x="137"/>
        <item x="113"/>
        <item x="119"/>
        <item x="183"/>
        <item x="49"/>
        <item x="77"/>
        <item x="20"/>
        <item x="195"/>
        <item x="93"/>
        <item x="153"/>
        <item x="166"/>
        <item x="188"/>
        <item x="68"/>
        <item x="180"/>
        <item x="134"/>
        <item x="190"/>
        <item x="161"/>
        <item x="149"/>
        <item x="7"/>
        <item x="123"/>
        <item x="60"/>
        <item x="47"/>
        <item x="177"/>
        <item x="133"/>
        <item x="41"/>
        <item x="12"/>
        <item x="73"/>
        <item x="79"/>
        <item x="159"/>
        <item x="165"/>
        <item x="39"/>
        <item x="3"/>
        <item x="30"/>
        <item x="35"/>
        <item x="8"/>
        <item x="189"/>
        <item x="132"/>
        <item x="6"/>
        <item x="29"/>
        <item x="196"/>
        <item x="89"/>
        <item x="109"/>
        <item x="56"/>
        <item x="45"/>
        <item x="135"/>
        <item x="186"/>
        <item x="65"/>
        <item x="32"/>
        <item x="4"/>
        <item x="146"/>
        <item x="44"/>
        <item x="70"/>
        <item x="144"/>
        <item x="14"/>
        <item t="default"/>
      </items>
      <autoSortScope>
        <pivotArea dataOnly="0" outline="0" fieldPosition="0">
          <references count="1">
            <reference field="4294967294" count="1" selected="0">
              <x v="0"/>
            </reference>
          </references>
        </pivotArea>
      </autoSortScope>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f="1" x="198"/>
        <item f="1" x="207"/>
        <item f="1" x="199"/>
        <item f="1" x="200"/>
        <item f="1" x="201"/>
        <item f="1" x="202"/>
        <item f="1" x="203"/>
        <item f="1" x="204"/>
        <item f="1" x="205"/>
        <item f="1" x="206"/>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t="default"/>
      </items>
    </pivotField>
    <pivotField numFmtId="2" showAll="0"/>
    <pivotField showAll="0"/>
    <pivotField showAll="0"/>
    <pivotField dataField="1"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0"/>
  </rowFields>
  <rowItems count="6">
    <i>
      <x v="20"/>
    </i>
    <i>
      <x v="55"/>
    </i>
    <i>
      <x v="162"/>
    </i>
    <i>
      <x v="23"/>
    </i>
    <i>
      <x v="144"/>
    </i>
    <i t="grand">
      <x/>
    </i>
  </rowItems>
  <colItems count="1">
    <i/>
  </colItems>
  <pageFields count="1">
    <pageField fld="14" item="1" hier="-1"/>
  </pageFields>
  <dataFields count="1">
    <dataField name="Sum of Volume (24h) USD" fld="5" baseField="0" baseItem="0"/>
  </dataFields>
  <chartFormats count="6">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0" count="1" selected="0">
            <x v="20"/>
          </reference>
        </references>
      </pivotArea>
    </chartFormat>
    <chartFormat chart="5" format="2">
      <pivotArea type="data" outline="0" fieldPosition="0">
        <references count="2">
          <reference field="4294967294" count="1" selected="0">
            <x v="0"/>
          </reference>
          <reference field="0" count="1" selected="0">
            <x v="55"/>
          </reference>
        </references>
      </pivotArea>
    </chartFormat>
    <chartFormat chart="5" format="3">
      <pivotArea type="data" outline="0" fieldPosition="0">
        <references count="2">
          <reference field="4294967294" count="1" selected="0">
            <x v="0"/>
          </reference>
          <reference field="0" count="1" selected="0">
            <x v="162"/>
          </reference>
        </references>
      </pivotArea>
    </chartFormat>
    <chartFormat chart="5" format="4">
      <pivotArea type="data" outline="0" fieldPosition="0">
        <references count="2">
          <reference field="4294967294" count="1" selected="0">
            <x v="0"/>
          </reference>
          <reference field="0" count="1" selected="0">
            <x v="23"/>
          </reference>
        </references>
      </pivotArea>
    </chartFormat>
    <chartFormat chart="5" format="5">
      <pivotArea type="data" outline="0" fieldPosition="0">
        <references count="2">
          <reference field="4294967294" count="1" selected="0">
            <x v="0"/>
          </reference>
          <reference field="0" count="1" selected="0">
            <x v="144"/>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353F446-B0BF-4B64-9B60-BE0001118B30}"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C13" firstHeaderRow="0" firstDataRow="1" firstDataCol="1"/>
  <pivotFields count="23">
    <pivotField axis="axisRow" showAll="0" measureFilter="1" sortType="descending">
      <items count="199">
        <item x="130"/>
        <item x="193"/>
        <item x="104"/>
        <item x="94"/>
        <item x="142"/>
        <item x="106"/>
        <item x="158"/>
        <item x="38"/>
        <item x="76"/>
        <item x="80"/>
        <item x="101"/>
        <item x="141"/>
        <item x="31"/>
        <item x="64"/>
        <item x="172"/>
        <item x="100"/>
        <item x="143"/>
        <item x="27"/>
        <item x="185"/>
        <item x="194"/>
        <item x="1"/>
        <item x="96"/>
        <item x="82"/>
        <item x="5"/>
        <item x="98"/>
        <item x="74"/>
        <item x="116"/>
        <item x="18"/>
        <item x="25"/>
        <item x="54"/>
        <item x="126"/>
        <item x="148"/>
        <item x="78"/>
        <item x="10"/>
        <item x="152"/>
        <item x="66"/>
        <item x="197"/>
        <item x="43"/>
        <item x="0"/>
        <item x="71"/>
        <item x="120"/>
        <item x="115"/>
        <item x="121"/>
        <item x="13"/>
        <item x="150"/>
        <item x="136"/>
        <item x="181"/>
        <item x="155"/>
        <item x="9"/>
        <item x="50"/>
        <item x="17"/>
        <item x="145"/>
        <item x="102"/>
        <item x="53"/>
        <item x="15"/>
        <item x="2"/>
        <item x="22"/>
        <item x="114"/>
        <item x="139"/>
        <item x="11"/>
        <item x="173"/>
        <item x="37"/>
        <item x="85"/>
        <item x="105"/>
        <item x="156"/>
        <item x="87"/>
        <item x="91"/>
        <item x="107"/>
        <item x="168"/>
        <item x="28"/>
        <item x="58"/>
        <item x="33"/>
        <item x="19"/>
        <item x="192"/>
        <item x="182"/>
        <item x="184"/>
        <item x="112"/>
        <item x="162"/>
        <item x="117"/>
        <item x="86"/>
        <item x="92"/>
        <item x="21"/>
        <item x="95"/>
        <item x="111"/>
        <item x="55"/>
        <item x="191"/>
        <item x="108"/>
        <item x="16"/>
        <item x="59"/>
        <item x="67"/>
        <item x="26"/>
        <item x="125"/>
        <item x="61"/>
        <item x="171"/>
        <item x="62"/>
        <item x="23"/>
        <item x="179"/>
        <item x="157"/>
        <item x="88"/>
        <item x="151"/>
        <item x="127"/>
        <item x="46"/>
        <item x="42"/>
        <item x="51"/>
        <item x="97"/>
        <item x="48"/>
        <item x="163"/>
        <item x="131"/>
        <item x="124"/>
        <item x="99"/>
        <item x="140"/>
        <item x="36"/>
        <item x="34"/>
        <item x="160"/>
        <item x="175"/>
        <item x="174"/>
        <item x="83"/>
        <item x="147"/>
        <item x="129"/>
        <item x="154"/>
        <item x="169"/>
        <item x="118"/>
        <item x="75"/>
        <item x="24"/>
        <item x="40"/>
        <item x="103"/>
        <item x="63"/>
        <item x="57"/>
        <item x="72"/>
        <item x="110"/>
        <item x="81"/>
        <item x="69"/>
        <item x="178"/>
        <item x="90"/>
        <item x="176"/>
        <item x="187"/>
        <item x="138"/>
        <item x="170"/>
        <item x="164"/>
        <item x="128"/>
        <item x="84"/>
        <item x="52"/>
        <item x="167"/>
        <item x="122"/>
        <item x="137"/>
        <item x="113"/>
        <item x="119"/>
        <item x="183"/>
        <item x="49"/>
        <item x="77"/>
        <item x="20"/>
        <item x="195"/>
        <item x="93"/>
        <item x="153"/>
        <item x="166"/>
        <item x="188"/>
        <item x="68"/>
        <item x="180"/>
        <item x="134"/>
        <item x="190"/>
        <item x="161"/>
        <item x="149"/>
        <item x="7"/>
        <item x="123"/>
        <item x="60"/>
        <item x="47"/>
        <item x="177"/>
        <item x="133"/>
        <item x="41"/>
        <item x="12"/>
        <item x="73"/>
        <item x="79"/>
        <item x="159"/>
        <item x="165"/>
        <item x="39"/>
        <item x="3"/>
        <item x="30"/>
        <item x="35"/>
        <item x="8"/>
        <item x="189"/>
        <item x="132"/>
        <item x="6"/>
        <item x="29"/>
        <item x="196"/>
        <item x="89"/>
        <item x="109"/>
        <item x="56"/>
        <item x="45"/>
        <item x="135"/>
        <item x="186"/>
        <item x="65"/>
        <item x="32"/>
        <item x="4"/>
        <item x="146"/>
        <item x="44"/>
        <item x="70"/>
        <item x="144"/>
        <item x="14"/>
        <item t="default"/>
      </items>
      <autoSortScope>
        <pivotArea dataOnly="0" outline="0" fieldPosition="0">
          <references count="1">
            <reference field="4294967294" count="1" selected="0">
              <x v="1"/>
            </reference>
          </references>
        </pivotArea>
      </autoSortScope>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f="1" x="198"/>
        <item f="1" x="207"/>
        <item f="1" x="199"/>
        <item f="1" x="200"/>
        <item f="1" x="201"/>
        <item f="1" x="202"/>
        <item f="1" x="203"/>
        <item f="1" x="204"/>
        <item f="1" x="205"/>
        <item f="1" x="206"/>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t="default"/>
      </items>
    </pivotField>
    <pivotField dataField="1" numFmtId="2"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3">
        <item h="1" x="0"/>
        <item x="1"/>
        <item t="default"/>
      </items>
    </pivotField>
    <pivotField showAll="0"/>
    <pivotField showAll="0"/>
    <pivotField showAll="0"/>
    <pivotField showAll="0"/>
    <pivotField showAll="0"/>
    <pivotField showAll="0"/>
  </pivotFields>
  <rowFields count="1">
    <field x="0"/>
  </rowFields>
  <rowItems count="12">
    <i>
      <x v="71"/>
    </i>
    <i>
      <x v="95"/>
    </i>
    <i>
      <x v="90"/>
    </i>
    <i>
      <x v="165"/>
    </i>
    <i>
      <x v="192"/>
    </i>
    <i>
      <x v="67"/>
    </i>
    <i>
      <x v="130"/>
    </i>
    <i>
      <x v="123"/>
    </i>
    <i>
      <x v="179"/>
    </i>
    <i>
      <x v="175"/>
    </i>
    <i>
      <x v="181"/>
    </i>
    <i t="grand">
      <x/>
    </i>
  </rowItems>
  <colFields count="1">
    <field x="-2"/>
  </colFields>
  <colItems count="2">
    <i>
      <x/>
    </i>
    <i i="1">
      <x v="1"/>
    </i>
  </colItems>
  <dataFields count="2">
    <dataField name="Sum of Price(USD)" fld="2" baseField="0" baseItem="0" numFmtId="2"/>
    <dataField name="Sum of Previous Price" fld="15" baseField="0" baseItem="0"/>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F2E6D24-7D4D-4A8A-8857-071FF5B03691}"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14" firstHeaderRow="0" firstDataRow="1" firstDataCol="1" rowPageCount="1" colPageCount="1"/>
  <pivotFields count="23">
    <pivotField axis="axisRow" showAll="0" measureFilter="1">
      <items count="199">
        <item x="130"/>
        <item x="193"/>
        <item x="104"/>
        <item x="94"/>
        <item x="142"/>
        <item x="106"/>
        <item x="158"/>
        <item x="38"/>
        <item x="76"/>
        <item x="80"/>
        <item x="101"/>
        <item x="141"/>
        <item x="31"/>
        <item x="64"/>
        <item x="172"/>
        <item x="100"/>
        <item x="143"/>
        <item x="27"/>
        <item x="185"/>
        <item x="194"/>
        <item x="1"/>
        <item x="96"/>
        <item x="82"/>
        <item x="5"/>
        <item x="98"/>
        <item x="74"/>
        <item x="116"/>
        <item x="18"/>
        <item x="25"/>
        <item x="54"/>
        <item x="126"/>
        <item x="148"/>
        <item x="78"/>
        <item x="10"/>
        <item x="152"/>
        <item x="66"/>
        <item x="197"/>
        <item x="43"/>
        <item x="0"/>
        <item x="71"/>
        <item x="120"/>
        <item x="115"/>
        <item x="121"/>
        <item x="13"/>
        <item x="150"/>
        <item x="136"/>
        <item x="181"/>
        <item x="155"/>
        <item x="9"/>
        <item x="50"/>
        <item x="17"/>
        <item x="145"/>
        <item x="102"/>
        <item x="53"/>
        <item x="15"/>
        <item x="2"/>
        <item x="22"/>
        <item x="114"/>
        <item x="139"/>
        <item x="11"/>
        <item x="173"/>
        <item x="37"/>
        <item x="85"/>
        <item x="105"/>
        <item x="156"/>
        <item x="87"/>
        <item x="91"/>
        <item x="107"/>
        <item x="168"/>
        <item x="28"/>
        <item x="58"/>
        <item x="33"/>
        <item x="19"/>
        <item x="192"/>
        <item x="182"/>
        <item x="184"/>
        <item x="112"/>
        <item x="162"/>
        <item x="117"/>
        <item x="86"/>
        <item x="92"/>
        <item x="21"/>
        <item x="95"/>
        <item x="111"/>
        <item x="55"/>
        <item x="191"/>
        <item x="108"/>
        <item x="16"/>
        <item x="59"/>
        <item x="67"/>
        <item x="26"/>
        <item x="125"/>
        <item x="61"/>
        <item x="171"/>
        <item x="62"/>
        <item x="23"/>
        <item x="179"/>
        <item x="157"/>
        <item x="88"/>
        <item x="151"/>
        <item x="127"/>
        <item x="46"/>
        <item x="42"/>
        <item x="51"/>
        <item x="97"/>
        <item x="48"/>
        <item x="163"/>
        <item x="131"/>
        <item x="124"/>
        <item x="99"/>
        <item x="140"/>
        <item x="36"/>
        <item x="34"/>
        <item x="160"/>
        <item x="175"/>
        <item x="174"/>
        <item x="83"/>
        <item x="147"/>
        <item x="129"/>
        <item x="154"/>
        <item x="169"/>
        <item x="118"/>
        <item x="75"/>
        <item x="24"/>
        <item x="40"/>
        <item x="103"/>
        <item x="63"/>
        <item x="57"/>
        <item x="72"/>
        <item x="110"/>
        <item x="81"/>
        <item x="69"/>
        <item x="178"/>
        <item x="90"/>
        <item x="176"/>
        <item x="187"/>
        <item x="138"/>
        <item x="170"/>
        <item x="164"/>
        <item x="128"/>
        <item x="84"/>
        <item x="52"/>
        <item x="167"/>
        <item x="122"/>
        <item x="137"/>
        <item x="113"/>
        <item x="119"/>
        <item x="183"/>
        <item x="49"/>
        <item x="77"/>
        <item x="20"/>
        <item x="195"/>
        <item x="93"/>
        <item x="153"/>
        <item x="166"/>
        <item x="188"/>
        <item x="68"/>
        <item x="180"/>
        <item x="134"/>
        <item x="190"/>
        <item x="161"/>
        <item x="149"/>
        <item x="7"/>
        <item x="123"/>
        <item x="60"/>
        <item x="47"/>
        <item x="177"/>
        <item x="133"/>
        <item x="41"/>
        <item x="12"/>
        <item x="73"/>
        <item x="79"/>
        <item x="159"/>
        <item x="165"/>
        <item x="39"/>
        <item x="3"/>
        <item x="30"/>
        <item x="35"/>
        <item x="8"/>
        <item x="189"/>
        <item x="132"/>
        <item x="6"/>
        <item x="29"/>
        <item x="196"/>
        <item x="89"/>
        <item x="109"/>
        <item x="56"/>
        <item x="45"/>
        <item x="135"/>
        <item x="186"/>
        <item x="65"/>
        <item x="32"/>
        <item x="4"/>
        <item x="146"/>
        <item x="44"/>
        <item x="70"/>
        <item x="144"/>
        <item x="14"/>
        <item t="default"/>
      </items>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f="1" x="198"/>
        <item f="1" x="207"/>
        <item f="1" x="199"/>
        <item f="1" x="200"/>
        <item f="1" x="201"/>
        <item f="1" x="202"/>
        <item f="1" x="203"/>
        <item f="1" x="204"/>
        <item f="1" x="205"/>
        <item f="1" x="206"/>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t="default"/>
      </items>
    </pivotField>
    <pivotField numFmtId="2"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dataField="1" showAll="0"/>
    <pivotField showAll="0"/>
    <pivotField dataField="1" showAll="0"/>
    <pivotField showAll="0"/>
    <pivotField showAll="0"/>
    <pivotField showAll="0"/>
  </pivotFields>
  <rowFields count="1">
    <field x="0"/>
  </rowFields>
  <rowItems count="11">
    <i>
      <x v="14"/>
    </i>
    <i>
      <x v="39"/>
    </i>
    <i>
      <x v="47"/>
    </i>
    <i>
      <x v="62"/>
    </i>
    <i>
      <x v="65"/>
    </i>
    <i>
      <x v="68"/>
    </i>
    <i>
      <x v="128"/>
    </i>
    <i>
      <x v="133"/>
    </i>
    <i>
      <x v="142"/>
    </i>
    <i>
      <x v="179"/>
    </i>
    <i t="grand">
      <x/>
    </i>
  </rowItems>
  <colFields count="1">
    <field x="-2"/>
  </colFields>
  <colItems count="3">
    <i>
      <x/>
    </i>
    <i i="1">
      <x v="1"/>
    </i>
    <i i="2">
      <x v="2"/>
    </i>
  </colItems>
  <pageFields count="1">
    <pageField fld="16" hier="-1"/>
  </pageFields>
  <dataFields count="3">
    <dataField name="Sum of Previous 7d Price" fld="19" baseField="0" baseItem="0"/>
    <dataField name="Sum of Previous 24h Price" fld="17" baseField="0" baseItem="2"/>
    <dataField name="Sum of 1h Change (%)" fld="3" baseField="0" baseItem="0"/>
  </dataField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060E4D2-9CFB-459D-9502-51EC730A7CED}" name="PivotTable1"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C7" firstHeaderRow="0" firstDataRow="1" firstDataCol="1" rowPageCount="1" colPageCount="1"/>
  <pivotFields count="23">
    <pivotField axis="axisRow" showAll="0" measureFilter="1" sortType="ascending">
      <items count="199">
        <item x="130"/>
        <item x="193"/>
        <item x="104"/>
        <item x="94"/>
        <item x="142"/>
        <item x="106"/>
        <item x="158"/>
        <item x="38"/>
        <item x="76"/>
        <item x="80"/>
        <item x="101"/>
        <item x="141"/>
        <item x="31"/>
        <item x="64"/>
        <item x="172"/>
        <item x="100"/>
        <item x="143"/>
        <item x="27"/>
        <item x="185"/>
        <item x="194"/>
        <item x="1"/>
        <item x="96"/>
        <item x="82"/>
        <item x="5"/>
        <item x="98"/>
        <item x="74"/>
        <item x="116"/>
        <item x="18"/>
        <item x="25"/>
        <item x="54"/>
        <item x="126"/>
        <item x="148"/>
        <item x="78"/>
        <item x="10"/>
        <item x="152"/>
        <item x="66"/>
        <item x="197"/>
        <item x="43"/>
        <item x="0"/>
        <item x="71"/>
        <item x="120"/>
        <item x="115"/>
        <item x="121"/>
        <item x="13"/>
        <item x="150"/>
        <item x="136"/>
        <item x="181"/>
        <item x="155"/>
        <item x="9"/>
        <item x="50"/>
        <item x="17"/>
        <item x="145"/>
        <item x="102"/>
        <item x="53"/>
        <item x="15"/>
        <item x="2"/>
        <item x="22"/>
        <item x="114"/>
        <item x="139"/>
        <item x="11"/>
        <item x="173"/>
        <item x="37"/>
        <item x="85"/>
        <item x="105"/>
        <item x="156"/>
        <item x="87"/>
        <item x="91"/>
        <item x="107"/>
        <item x="168"/>
        <item x="28"/>
        <item x="58"/>
        <item x="33"/>
        <item x="19"/>
        <item x="192"/>
        <item x="182"/>
        <item x="184"/>
        <item x="112"/>
        <item x="162"/>
        <item x="117"/>
        <item x="86"/>
        <item x="92"/>
        <item x="21"/>
        <item x="95"/>
        <item x="111"/>
        <item x="55"/>
        <item x="191"/>
        <item x="108"/>
        <item x="16"/>
        <item x="59"/>
        <item x="67"/>
        <item x="26"/>
        <item x="125"/>
        <item x="61"/>
        <item x="171"/>
        <item x="62"/>
        <item x="23"/>
        <item x="179"/>
        <item x="157"/>
        <item x="88"/>
        <item x="151"/>
        <item x="127"/>
        <item x="46"/>
        <item x="42"/>
        <item x="51"/>
        <item x="97"/>
        <item x="48"/>
        <item x="163"/>
        <item x="131"/>
        <item x="124"/>
        <item x="99"/>
        <item x="140"/>
        <item x="36"/>
        <item x="34"/>
        <item x="160"/>
        <item x="175"/>
        <item x="174"/>
        <item x="83"/>
        <item x="147"/>
        <item x="129"/>
        <item x="154"/>
        <item x="169"/>
        <item x="118"/>
        <item x="75"/>
        <item x="24"/>
        <item x="40"/>
        <item x="103"/>
        <item x="63"/>
        <item x="57"/>
        <item x="72"/>
        <item x="110"/>
        <item x="81"/>
        <item x="69"/>
        <item x="178"/>
        <item x="90"/>
        <item x="176"/>
        <item x="187"/>
        <item x="138"/>
        <item x="170"/>
        <item x="164"/>
        <item x="128"/>
        <item x="84"/>
        <item x="52"/>
        <item x="167"/>
        <item x="122"/>
        <item x="137"/>
        <item x="113"/>
        <item x="119"/>
        <item x="183"/>
        <item x="49"/>
        <item x="77"/>
        <item x="20"/>
        <item x="195"/>
        <item x="93"/>
        <item x="153"/>
        <item x="166"/>
        <item x="188"/>
        <item x="68"/>
        <item x="180"/>
        <item x="134"/>
        <item x="190"/>
        <item x="161"/>
        <item x="149"/>
        <item x="7"/>
        <item x="123"/>
        <item x="60"/>
        <item x="47"/>
        <item x="177"/>
        <item x="133"/>
        <item x="41"/>
        <item x="12"/>
        <item x="73"/>
        <item x="79"/>
        <item x="159"/>
        <item x="165"/>
        <item x="39"/>
        <item x="3"/>
        <item x="30"/>
        <item x="35"/>
        <item x="8"/>
        <item x="189"/>
        <item x="132"/>
        <item x="6"/>
        <item x="29"/>
        <item x="196"/>
        <item x="89"/>
        <item x="109"/>
        <item x="56"/>
        <item x="45"/>
        <item x="135"/>
        <item x="186"/>
        <item x="65"/>
        <item x="32"/>
        <item x="4"/>
        <item x="146"/>
        <item x="44"/>
        <item x="70"/>
        <item x="144"/>
        <item x="14"/>
        <item t="default"/>
      </items>
      <autoSortScope>
        <pivotArea dataOnly="0" outline="0" fieldPosition="0">
          <references count="1">
            <reference field="4294967294" count="1" selected="0">
              <x v="0"/>
            </reference>
          </references>
        </pivotArea>
      </autoSortScope>
    </pivotField>
    <pivotField showAll="0">
      <items count="209">
        <item x="12"/>
        <item x="119"/>
        <item x="17"/>
        <item x="130"/>
        <item x="94"/>
        <item x="193"/>
        <item x="104"/>
        <item x="91"/>
        <item x="75"/>
        <item x="106"/>
        <item x="158"/>
        <item x="38"/>
        <item x="64"/>
        <item x="80"/>
        <item x="101"/>
        <item x="141"/>
        <item x="31"/>
        <item x="172"/>
        <item x="18"/>
        <item x="142"/>
        <item x="100"/>
        <item x="194"/>
        <item x="27"/>
        <item x="143"/>
        <item x="150"/>
        <item x="185"/>
        <item x="96"/>
        <item x="82"/>
        <item x="5"/>
        <item x="116"/>
        <item x="98"/>
        <item x="1"/>
        <item x="54"/>
        <item x="126"/>
        <item x="148"/>
        <item x="78"/>
        <item x="66"/>
        <item x="34"/>
        <item x="197"/>
        <item x="0"/>
        <item x="43"/>
        <item x="71"/>
        <item x="120"/>
        <item x="121"/>
        <item x="115"/>
        <item x="13"/>
        <item x="25"/>
        <item x="152"/>
        <item x="166"/>
        <item x="181"/>
        <item x="155"/>
        <item x="136"/>
        <item x="9"/>
        <item x="145"/>
        <item x="50"/>
        <item x="86"/>
        <item x="53"/>
        <item x="2"/>
        <item x="15"/>
        <item x="102"/>
        <item x="114"/>
        <item x="11"/>
        <item x="139"/>
        <item x="173"/>
        <item x="37"/>
        <item x="85"/>
        <item f="1" x="198"/>
        <item f="1" x="207"/>
        <item f="1" x="199"/>
        <item f="1" x="200"/>
        <item f="1" x="201"/>
        <item f="1" x="202"/>
        <item f="1" x="203"/>
        <item f="1" x="204"/>
        <item f="1" x="205"/>
        <item f="1" x="206"/>
        <item x="105"/>
        <item x="156"/>
        <item x="87"/>
        <item x="107"/>
        <item x="168"/>
        <item x="28"/>
        <item x="184"/>
        <item x="58"/>
        <item x="33"/>
        <item x="19"/>
        <item x="182"/>
        <item x="73"/>
        <item x="192"/>
        <item x="112"/>
        <item x="111"/>
        <item x="117"/>
        <item x="92"/>
        <item x="162"/>
        <item x="21"/>
        <item x="95"/>
        <item x="55"/>
        <item x="191"/>
        <item x="108"/>
        <item x="16"/>
        <item x="59"/>
        <item x="128"/>
        <item x="26"/>
        <item x="125"/>
        <item x="61"/>
        <item x="171"/>
        <item x="62"/>
        <item x="179"/>
        <item x="23"/>
        <item x="157"/>
        <item x="88"/>
        <item x="151"/>
        <item x="127"/>
        <item x="42"/>
        <item x="51"/>
        <item x="163"/>
        <item x="124"/>
        <item x="97"/>
        <item x="46"/>
        <item x="48"/>
        <item x="131"/>
        <item x="99"/>
        <item x="140"/>
        <item x="36"/>
        <item x="83"/>
        <item x="160"/>
        <item x="175"/>
        <item x="174"/>
        <item x="169"/>
        <item x="154"/>
        <item x="72"/>
        <item x="40"/>
        <item x="63"/>
        <item x="57"/>
        <item x="103"/>
        <item x="118"/>
        <item x="69"/>
        <item x="90"/>
        <item x="178"/>
        <item x="138"/>
        <item x="170"/>
        <item x="164"/>
        <item x="84"/>
        <item x="52"/>
        <item x="122"/>
        <item x="41"/>
        <item x="81"/>
        <item x="113"/>
        <item x="183"/>
        <item x="129"/>
        <item x="49"/>
        <item x="77"/>
        <item x="20"/>
        <item x="93"/>
        <item x="153"/>
        <item x="188"/>
        <item x="195"/>
        <item x="68"/>
        <item x="180"/>
        <item x="161"/>
        <item x="190"/>
        <item x="159"/>
        <item x="67"/>
        <item x="149"/>
        <item x="39"/>
        <item x="123"/>
        <item x="7"/>
        <item x="60"/>
        <item x="47"/>
        <item x="134"/>
        <item x="177"/>
        <item x="65"/>
        <item x="133"/>
        <item x="79"/>
        <item x="110"/>
        <item x="10"/>
        <item x="30"/>
        <item x="137"/>
        <item x="35"/>
        <item x="8"/>
        <item x="132"/>
        <item x="189"/>
        <item x="29"/>
        <item x="6"/>
        <item x="22"/>
        <item x="3"/>
        <item x="24"/>
        <item x="196"/>
        <item x="144"/>
        <item x="89"/>
        <item x="109"/>
        <item x="167"/>
        <item x="45"/>
        <item x="147"/>
        <item x="56"/>
        <item x="165"/>
        <item x="76"/>
        <item x="135"/>
        <item x="186"/>
        <item x="32"/>
        <item x="187"/>
        <item x="4"/>
        <item x="146"/>
        <item x="44"/>
        <item x="176"/>
        <item x="74"/>
        <item x="70"/>
        <item x="14"/>
        <item t="default"/>
      </items>
    </pivotField>
    <pivotField dataField="1"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Page" showAll="0">
      <items count="6">
        <item x="0"/>
        <item x="2"/>
        <item x="1"/>
        <item x="3"/>
        <item x="4"/>
        <item t="default"/>
      </items>
    </pivotField>
  </pivotFields>
  <rowFields count="1">
    <field x="0"/>
  </rowFields>
  <rowItems count="4">
    <i>
      <x v="109"/>
    </i>
    <i>
      <x v="131"/>
    </i>
    <i>
      <x v="81"/>
    </i>
    <i>
      <x v="187"/>
    </i>
  </rowItems>
  <colFields count="1">
    <field x="-2"/>
  </colFields>
  <colItems count="2">
    <i>
      <x/>
    </i>
    <i i="1">
      <x v="1"/>
    </i>
  </colItems>
  <pageFields count="1">
    <pageField fld="22" item="1" hier="-1"/>
  </pageFields>
  <dataFields count="2">
    <dataField name="Min of Avg Downfall %" fld="21" subtotal="min" baseField="0" baseItem="109" numFmtId="165"/>
    <dataField name="Min of Price(USD)" fld="2" subtotal="min" baseField="0" baseItem="0" numFmtId="2"/>
  </dataFields>
  <formats count="9">
    <format dxfId="43">
      <pivotArea dataOnly="0" outline="0" fieldPosition="0">
        <references count="2">
          <reference field="4294967294" count="1">
            <x v="0"/>
          </reference>
          <reference field="22" count="1" selected="0">
            <x v="1"/>
          </reference>
        </references>
      </pivotArea>
    </format>
    <format dxfId="42">
      <pivotArea collapsedLevelsAreSubtotals="1" fieldPosition="0">
        <references count="2">
          <reference field="4294967294" count="1" selected="0">
            <x v="0"/>
          </reference>
          <reference field="0" count="1">
            <x v="109"/>
          </reference>
        </references>
      </pivotArea>
    </format>
    <format dxfId="41">
      <pivotArea dataOnly="0" labelOnly="1" outline="0" fieldPosition="0">
        <references count="1">
          <reference field="4294967294" count="1">
            <x v="0"/>
          </reference>
        </references>
      </pivotArea>
    </format>
    <format dxfId="40">
      <pivotArea outline="0" collapsedLevelsAreSubtotals="1" fieldPosition="0">
        <references count="1">
          <reference field="4294967294" count="1" selected="0">
            <x v="0"/>
          </reference>
        </references>
      </pivotArea>
    </format>
    <format dxfId="39">
      <pivotArea type="all" dataOnly="0" outline="0" fieldPosition="0"/>
    </format>
    <format dxfId="38">
      <pivotArea outline="0" collapsedLevelsAreSubtotals="1" fieldPosition="0"/>
    </format>
    <format dxfId="37">
      <pivotArea field="0" type="button" dataOnly="0" labelOnly="1" outline="0" axis="axisRow" fieldPosition="0"/>
    </format>
    <format dxfId="36">
      <pivotArea dataOnly="0" labelOnly="1" fieldPosition="0">
        <references count="1">
          <reference field="0" count="4">
            <x v="81"/>
            <x v="109"/>
            <x v="131"/>
            <x v="187"/>
          </reference>
        </references>
      </pivotArea>
    </format>
    <format dxfId="3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filters count="1">
    <filter fld="0" type="count" evalOrder="-1" id="3" iMeasureFld="0">
      <autoFilter ref="A1">
        <filterColumn colId="0">
          <top10 top="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B4D166A-E9A9-4C01-923E-4813FFE562DE}" autoFormatId="16" applyNumberFormats="0" applyBorderFormats="0" applyFontFormats="0" applyPatternFormats="0" applyAlignmentFormats="0" applyWidthHeightFormats="0">
  <queryTableRefresh nextId="28" unboundColumnsRight="14">
    <queryTableFields count="23">
      <queryTableField id="1" name="Coin Name" tableColumnId="1"/>
      <queryTableField id="2" name="Symbol" tableColumnId="2"/>
      <queryTableField id="3" dataBound="0" tableColumnId="3"/>
      <queryTableField id="4" name="1h Change (%)" tableColumnId="4"/>
      <queryTableField id="5" name="Market Cap" tableColumnId="5"/>
      <queryTableField id="6" name="Volume (24h) USD" tableColumnId="6"/>
      <queryTableField id="7" name="Circulating Supply" tableColumnId="7"/>
      <queryTableField id="8" name="Circulating_Supply($)" tableColumnId="8"/>
      <queryTableField id="9" name="Market Cap Value" tableColumnId="9"/>
      <queryTableField id="10" dataBound="0" tableColumnId="10"/>
      <queryTableField id="11" dataBound="0" tableColumnId="11"/>
      <queryTableField id="12" dataBound="0" tableColumnId="12"/>
      <queryTableField id="13" dataBound="0" tableColumnId="13"/>
      <queryTableField id="15" dataBound="0" tableColumnId="14"/>
      <queryTableField id="16" dataBound="0" tableColumnId="15"/>
      <queryTableField id="17" dataBound="0" tableColumnId="16"/>
      <queryTableField id="18" dataBound="0" tableColumnId="17"/>
      <queryTableField id="19" dataBound="0" tableColumnId="18"/>
      <queryTableField id="21" dataBound="0" tableColumnId="20"/>
      <queryTableField id="24" dataBound="0" tableColumnId="23"/>
      <queryTableField id="25" dataBound="0" tableColumnId="24"/>
      <queryTableField id="26" dataBound="0" tableColumnId="19"/>
      <queryTableField id="27" dataBound="0" tableColumnId="21"/>
    </queryTableFields>
    <queryTableDeletedFields count="1">
      <deletedField name="Price (USD)"/>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89CF1855-94F7-4DB2-AA65-817B9D7FA626}" sourceName="Price Range">
  <pivotTables>
    <pivotTable tabId="3" name="PivotTable1"/>
    <pivotTable tabId="3" name="PivotTable2"/>
    <pivotTable tabId="3" name="PivotTable3"/>
    <pivotTable tabId="3" name="PivotTable4"/>
    <pivotTable tabId="3" name="PivotTable5"/>
    <pivotTable tabId="3" name="PivotTable6"/>
    <pivotTable tabId="3" name="PivotTable7"/>
    <pivotTable tabId="3" name="PivotTable8"/>
  </pivotTables>
  <data>
    <tabular pivotCacheId="1359079787">
      <items count="7">
        <i x="2"/>
        <i x="5"/>
        <i x="1"/>
        <i x="0"/>
        <i x="4"/>
        <i x="3" s="1"/>
        <i x="6"/>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CD9615FE-0609-48E9-B842-87035C6C8D80}" sourceName="Price Category">
  <pivotTables>
    <pivotTable tabId="7" name="PivotTable1"/>
  </pivotTables>
  <data>
    <tabular pivotCacheId="1359079787">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Filter" xr10:uid="{30D94EBE-2F7E-4A02-A090-A34C32586015}" sourceName="Price Filter">
  <pivotTables>
    <pivotTable tabId="8" name="PivotTable1"/>
  </pivotTables>
  <data>
    <tabular pivotCacheId="1359079787">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Group" xr10:uid="{25CA85E7-ABF3-4816-A295-4F74A3D364BF}" sourceName="Price Group">
  <pivotTables>
    <pivotTable tabId="10" name="PivotTable1"/>
  </pivotTables>
  <data>
    <tabular pivotCacheId="1359079787">
      <items count="5">
        <i x="0"/>
        <i x="2" s="1"/>
        <i x="1"/>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B73B0303-AF30-49AE-AAA6-B085CF80C226}" cache="Slicer_Price_Range" caption="Price Rang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1" xr10:uid="{B3B99F70-7436-4560-B639-B79AA9252035}" cache="Slicer_Price_Range" caption="Price Rang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E6B6D6A3-D31A-4C64-86BA-EEE5EAAA09ED}" cache="Slicer_Price_Category" caption="Price Category"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Filter" xr10:uid="{4BDFDA24-0A53-435F-86A8-4F6BDDE5E25C}" cache="Slicer_Price_Filter" caption="Price Filter"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Group" xr10:uid="{B569C9CE-0A8C-4F4F-BCA2-4700686455F0}" cache="Slicer_Price_Group" caption="Price Group"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4DFB34-5DC8-4416-B259-B58C8EA8C6C4}" name="Cleaned_data" displayName="Cleaned_data" ref="A1:W199" tableType="queryTable" totalsRowShown="0">
  <autoFilter ref="A1:W199" xr:uid="{3E4DFB34-5DC8-4416-B259-B58C8EA8C6C4}"/>
  <tableColumns count="23">
    <tableColumn id="1" xr3:uid="{A9FE37A4-5CD8-4B14-8BE0-BABA3DCC5F7F}" uniqueName="1" name="Coin Name" queryTableFieldId="1" dataDxfId="34"/>
    <tableColumn id="2" xr3:uid="{84B3A717-3363-4A9C-882E-F822C40CB94A}" uniqueName="2" name="Symbol" queryTableFieldId="2" dataDxfId="33"/>
    <tableColumn id="3" xr3:uid="{73ECDACC-619A-410D-BFD1-E2595F9BD871}" uniqueName="3" name="Price(USD)" queryTableFieldId="3" dataDxfId="32"/>
    <tableColumn id="4" xr3:uid="{6E040864-955E-4CB0-9DBB-57B9D5255B3C}" uniqueName="4" name="1h Change (%)" queryTableFieldId="4"/>
    <tableColumn id="5" xr3:uid="{41A50B8C-AA5C-4237-990B-ADF557334630}" uniqueName="5" name="Market Cap" queryTableFieldId="5" dataDxfId="31"/>
    <tableColumn id="6" xr3:uid="{227FDDCC-F79B-44A7-BA46-D1E4C8FD0BFB}" uniqueName="6" name="Volume (24h) USD" queryTableFieldId="6"/>
    <tableColumn id="7" xr3:uid="{2CE575DC-B2C8-4A95-8BFB-2C8499F8B7BB}" uniqueName="7" name="Circulating Supply" queryTableFieldId="7" dataDxfId="30"/>
    <tableColumn id="8" xr3:uid="{5A01495E-421D-48B6-AE0B-DEA9ED19F45E}" uniqueName="8" name="Circulating_Supply($)" queryTableFieldId="8"/>
    <tableColumn id="9" xr3:uid="{85B24CF1-6B06-46AA-A6EE-AB24BDBD6BD2}" uniqueName="9" name="  Market Cap" queryTableFieldId="9"/>
    <tableColumn id="10" xr3:uid="{9E036F4B-3F3C-432A-868E-E787181E9906}" uniqueName="10" name=" Dollar Volume per Supply" queryTableFieldId="10" dataDxfId="29">
      <calculatedColumnFormula>Cleaned_data[[#This Row],[Volume (24h) USD]]/Cleaned_data[[#This Row],[Circulating_Supply($)]]</calculatedColumnFormula>
    </tableColumn>
    <tableColumn id="11" xr3:uid="{2688B656-A138-41F9-83D7-3A1C7E6F49FE}" uniqueName="11" name="Rank" queryTableFieldId="11" dataDxfId="28">
      <calculatedColumnFormula>RANK(Cleaned_data[[#This Row],[  Market Cap]],Cleaned_data[ [  Market Cap] ],0)</calculatedColumnFormula>
    </tableColumn>
    <tableColumn id="12" xr3:uid="{440434AE-42A5-4C77-9936-C8110F86F90A}" uniqueName="12" name="Price Range" queryTableFieldId="12" dataDxfId="27">
      <calculatedColumnFormula>IF(VALUE(C2)&lt;=0.5,"0-0.5",
IF(VALUE(C2)&lt;=1,"0.5-1",
IF(VALUE(C2)&lt;=2,"1-2",
IF(VALUE(C2)&lt;=10,"2-10",
IF(VALUE(C2)&lt;=100,"10-100",
IF(VALUE(C2)&lt;=10000,"100-10000",
"10000+"))))))</calculatedColumnFormula>
    </tableColumn>
    <tableColumn id="13" xr3:uid="{3AB851FC-B48C-4EED-A13D-C6859CF921A8}" uniqueName="13" name="Price(USD)2" queryTableFieldId="13" dataDxfId="26">
      <calculatedColumnFormula>VALUE(C2)</calculatedColumnFormula>
    </tableColumn>
    <tableColumn id="14" xr3:uid="{D61E6B9F-EAD9-42DA-B0DD-A79FBE1FB33C}" uniqueName="14" name="Name Filter" queryTableFieldId="15" dataDxfId="25">
      <calculatedColumnFormula>IF(OR(LEFT(A2,1)="A",LEFT(A2,1)="E",LEFT(A2,1)="I",LEFT(A2,1)="O",LEFT(A2,1)="U",LEFT(A2,1)="B",LEFT(A2,1)="C",LEFT(A2,1)="D"),"Show","Hide")</calculatedColumnFormula>
    </tableColumn>
    <tableColumn id="15" xr3:uid="{E36BC02E-0980-4A21-A423-A6BEB75CAEC7}" uniqueName="15" name="Price Category" queryTableFieldId="16" dataDxfId="24">
      <calculatedColumnFormula>IF(C2&lt;=50,"0-50","Above 50")</calculatedColumnFormula>
    </tableColumn>
    <tableColumn id="16" xr3:uid="{58845749-DF00-496A-B62B-3F64FBCA8EC6}" uniqueName="16" name="Previous Price" queryTableFieldId="17" dataDxfId="23">
      <calculatedColumnFormula>C2/(1+D2)</calculatedColumnFormula>
    </tableColumn>
    <tableColumn id="17" xr3:uid="{8EBED7C1-333A-4075-9B5C-636D3906AEFF}" uniqueName="17" name="Price Filter" queryTableFieldId="18" dataDxfId="22">
      <calculatedColumnFormula>IF(M2&lt;10,"Up to $10","&gt;= $10")</calculatedColumnFormula>
    </tableColumn>
    <tableColumn id="18" xr3:uid="{96207C53-8A15-47AF-BF94-4D9CED0341CE}" uniqueName="18" name="Previous 24h Price" queryTableFieldId="19" dataDxfId="21">
      <calculatedColumnFormula>M2/(1-U2)</calculatedColumnFormula>
    </tableColumn>
    <tableColumn id="20" xr3:uid="{2E66D3F7-7863-41D0-B542-7B764B4225D5}" uniqueName="20" name="7d Change (%)" queryTableFieldId="21" dataDxfId="20">
      <calculatedColumnFormula>D2*7</calculatedColumnFormula>
    </tableColumn>
    <tableColumn id="23" xr3:uid="{A2430691-B5F1-46E5-A5B8-B7CFF0C50072}" uniqueName="23" name="Previous 7d Price" queryTableFieldId="24" dataDxfId="19">
      <calculatedColumnFormula xml:space="preserve"> M2/(1+S2)</calculatedColumnFormula>
    </tableColumn>
    <tableColumn id="24" xr3:uid="{408AC72F-C47D-4ADA-B925-07A6919B2AD6}" uniqueName="24" name="24h Change (%)" queryTableFieldId="25" dataDxfId="18">
      <calculatedColumnFormula>-0.01</calculatedColumnFormula>
    </tableColumn>
    <tableColumn id="19" xr3:uid="{04133B77-24B3-4677-9CE7-5E7945DF0F27}" uniqueName="19" name="Avg Downfall %" queryTableFieldId="26" dataDxfId="17">
      <calculatedColumnFormula>ABS(AVERAGE(D2,U2,S2))</calculatedColumnFormula>
    </tableColumn>
    <tableColumn id="21" xr3:uid="{46A0CF31-99F8-4BB0-9A04-9F34F529C110}" uniqueName="21" name="Price Group" queryTableFieldId="27" dataDxfId="16">
      <calculatedColumnFormula>IF(M2&lt;=0.05,"0-0.05",
IF(M2&lt;=0.5,"0.05-0.5",
IF(M2&lt;=5,"0.5-5",
IF(M2&lt;=50,"5-50",
"&gt;$50"))))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7ED2FBB-7DDE-46A3-943A-13739B085B4F}" name="Table2" displayName="Table2" ref="A6:C11" totalsRowShown="0" headerRowDxfId="0" dataDxfId="9" headerRowBorderDxfId="5" tableBorderDxfId="6" totalsRowBorderDxfId="4">
  <autoFilter ref="A6:C11" xr:uid="{07ED2FBB-7DDE-46A3-943A-13739B085B4F}"/>
  <tableColumns count="3">
    <tableColumn id="1" xr3:uid="{A5FDFB33-DB4A-419C-92C9-2AB8B2FBF50F}" name="Details" dataDxfId="3"/>
    <tableColumn id="2" xr3:uid="{049D9994-E155-4BAB-9AE3-F1F278405768}" name="Coin 1" dataDxfId="2"/>
    <tableColumn id="3" xr3:uid="{8AD1712C-3A76-49E0-A463-C2EE01F3F99B}" name="Coin 2" dataDxfId="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2.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F179E-975C-49D2-96E0-4656B3A94037}">
  <sheetPr codeName="Sheet1"/>
  <dimension ref="A1:W199"/>
  <sheetViews>
    <sheetView workbookViewId="0">
      <selection activeCell="V3" sqref="V3"/>
    </sheetView>
  </sheetViews>
  <sheetFormatPr defaultRowHeight="14.4"/>
  <cols>
    <col min="1" max="1" width="41.21875" bestFit="1" customWidth="1"/>
    <col min="2" max="2" width="9.5546875" bestFit="1" customWidth="1"/>
    <col min="3" max="3" width="12.6640625" bestFit="1" customWidth="1"/>
    <col min="4" max="4" width="15.44140625" bestFit="1" customWidth="1"/>
    <col min="5" max="5" width="13" bestFit="1" customWidth="1"/>
    <col min="6" max="6" width="18.77734375" bestFit="1" customWidth="1"/>
    <col min="7" max="7" width="18.44140625" bestFit="1" customWidth="1"/>
    <col min="8" max="8" width="21.44140625" bestFit="1" customWidth="1"/>
    <col min="9" max="9" width="13.88671875" bestFit="1" customWidth="1"/>
    <col min="10" max="10" width="25.33203125" bestFit="1" customWidth="1"/>
    <col min="11" max="11" width="7.44140625" bestFit="1" customWidth="1"/>
    <col min="12" max="12" width="10" customWidth="1"/>
    <col min="13" max="13" width="11.77734375" customWidth="1"/>
    <col min="14" max="14" width="8.109375" customWidth="1"/>
    <col min="16" max="16" width="10.21875" customWidth="1"/>
    <col min="18" max="18" width="18.6640625" bestFit="1" customWidth="1"/>
    <col min="19" max="19" width="12.6640625" customWidth="1"/>
    <col min="20" max="20" width="14.77734375" customWidth="1"/>
  </cols>
  <sheetData>
    <row r="1" spans="1:23">
      <c r="A1" t="s">
        <v>0</v>
      </c>
      <c r="B1" t="s">
        <v>1</v>
      </c>
      <c r="C1" s="6" t="s">
        <v>1223</v>
      </c>
      <c r="D1" t="s">
        <v>3</v>
      </c>
      <c r="E1" t="s">
        <v>4</v>
      </c>
      <c r="F1" t="s">
        <v>5</v>
      </c>
      <c r="G1" t="s">
        <v>6</v>
      </c>
      <c r="H1" t="s">
        <v>1068</v>
      </c>
      <c r="I1" t="s">
        <v>1218</v>
      </c>
      <c r="J1" t="s">
        <v>1219</v>
      </c>
      <c r="K1" t="s">
        <v>1220</v>
      </c>
      <c r="L1" t="s">
        <v>1221</v>
      </c>
      <c r="M1" t="s">
        <v>1224</v>
      </c>
      <c r="N1" t="s">
        <v>1242</v>
      </c>
      <c r="O1" t="s">
        <v>1258</v>
      </c>
      <c r="P1" s="17" t="s">
        <v>1260</v>
      </c>
      <c r="Q1" t="s">
        <v>1261</v>
      </c>
      <c r="R1" t="s">
        <v>1263</v>
      </c>
      <c r="S1" t="s">
        <v>1265</v>
      </c>
      <c r="T1" t="s">
        <v>1264</v>
      </c>
      <c r="U1" t="s">
        <v>1269</v>
      </c>
      <c r="V1" t="s">
        <v>1270</v>
      </c>
      <c r="W1" t="s">
        <v>1271</v>
      </c>
    </row>
    <row r="2" spans="1:23">
      <c r="A2" t="s">
        <v>7</v>
      </c>
      <c r="B2" t="s">
        <v>8</v>
      </c>
      <c r="C2" s="6">
        <v>162.97999999999999</v>
      </c>
      <c r="D2">
        <v>2.9999999999999997E-4</v>
      </c>
      <c r="E2" t="s">
        <v>1069</v>
      </c>
      <c r="F2">
        <v>1457463</v>
      </c>
      <c r="G2" t="s">
        <v>12</v>
      </c>
      <c r="H2">
        <v>102890</v>
      </c>
      <c r="I2">
        <v>16770000</v>
      </c>
      <c r="J2">
        <f>Cleaned_data[[#This Row],[Volume (24h) USD]]/Cleaned_data[[#This Row],[Circulating_Supply($)]]</f>
        <v>14.165254154922733</v>
      </c>
      <c r="K2">
        <f>RANK(Cleaned_data[[#This Row],[  Market Cap]],Cleaned_data[ [  Market Cap] ],0)</f>
        <v>90</v>
      </c>
      <c r="L2" t="str">
        <f>IF(VALUE(C2)&lt;=0.5,"0-0.5",
IF(VALUE(C2)&lt;=1,"0.5-1",
IF(VALUE(C2)&lt;=2,"1-2",
IF(VALUE(C2)&lt;=10,"2-10",
IF(VALUE(C2)&lt;=100,"10-100",
IF(VALUE(C2)&lt;=10000,"100-10000",
"10000+"))))))</f>
        <v>100-10000</v>
      </c>
      <c r="M2">
        <f>VALUE(C2)</f>
        <v>162.97999999999999</v>
      </c>
      <c r="N2" t="str">
        <f t="shared" ref="N2:N33" si="0">IF(OR(LEFT(A2,1)="A",LEFT(A2,1)="E",LEFT(A2,1)="I",LEFT(A2,1)="O",LEFT(A2,1)="U",LEFT(A2,1)="B",LEFT(A2,1)="C",LEFT(A2,1)="D"),"Show","Hide")</f>
        <v>Show</v>
      </c>
      <c r="O2" t="str">
        <f t="shared" ref="O2:O33" si="1">IF(C2&lt;=50,"0-50","Above 50")</f>
        <v>Above 50</v>
      </c>
      <c r="P2">
        <f t="shared" ref="P2:P33" si="2">C2/(1+D2)</f>
        <v>162.93112066380087</v>
      </c>
      <c r="Q2" t="str">
        <f t="shared" ref="Q2:Q33" si="3">IF(M2&lt;10,"Up to $10","&gt;= $10")</f>
        <v>&gt;= $10</v>
      </c>
      <c r="R2">
        <f t="shared" ref="R2:R33" si="4">M2/(1-U2)</f>
        <v>161.36633663366337</v>
      </c>
      <c r="S2">
        <f t="shared" ref="S2:S33" si="5">D2*7</f>
        <v>2.0999999999999999E-3</v>
      </c>
      <c r="T2">
        <f t="shared" ref="T2:T33" si="6" xml:space="preserve"> M2/(1+S2)</f>
        <v>162.63845923560521</v>
      </c>
      <c r="U2">
        <f t="shared" ref="U2:U65" si="7">-0.01</f>
        <v>-0.01</v>
      </c>
      <c r="V2">
        <f t="shared" ref="V2:V33" si="8">ABS(AVERAGE(D2,U2,S2))</f>
        <v>2.5333333333333336E-3</v>
      </c>
      <c r="W2" t="str">
        <f t="shared" ref="W2:W33" si="9">IF(M2&lt;=0.05,"0-0.05",
IF(M2&lt;=0.5,"0.05-0.5",
IF(M2&lt;=5,"0.5-5",
IF(M2&lt;=50,"5-50",
"&gt;$50"))))</f>
        <v>&gt;$50</v>
      </c>
    </row>
    <row r="3" spans="1:23">
      <c r="A3" t="s">
        <v>13</v>
      </c>
      <c r="B3" t="s">
        <v>14</v>
      </c>
      <c r="C3" s="6">
        <v>80712.679999999993</v>
      </c>
      <c r="D3">
        <v>1.8E-3</v>
      </c>
      <c r="E3" t="s">
        <v>1070</v>
      </c>
      <c r="F3">
        <v>16628011956</v>
      </c>
      <c r="G3" t="s">
        <v>18</v>
      </c>
      <c r="H3">
        <v>20020000</v>
      </c>
      <c r="I3">
        <v>1620000000000</v>
      </c>
      <c r="J3">
        <f>Cleaned_data[[#This Row],[Volume (24h) USD]]/Cleaned_data[[#This Row],[Circulating_Supply($)]]</f>
        <v>830.57002777222772</v>
      </c>
      <c r="K3">
        <f>RANK(Cleaned_data[[#This Row],[  Market Cap]],Cleaned_data[ [  Market Cap] ],0)</f>
        <v>1</v>
      </c>
      <c r="L3" t="str">
        <f t="shared" ref="L3:L66" si="10">IF(VALUE(C3)&lt;=0.5,"0-0.5",
IF(VALUE(C3)&lt;=1,"0.5-1",
IF(VALUE(C3)&lt;=2,"1-2",
IF(VALUE(C3)&lt;=10,"2-10",
IF(VALUE(C3)&lt;=100,"10-100",
IF(VALUE(C3)&lt;=10000,"100-10000",
"10000+"))))))</f>
        <v>10000+</v>
      </c>
      <c r="M3">
        <f>VALUE(C3)</f>
        <v>80712.679999999993</v>
      </c>
      <c r="N3" t="str">
        <f>IF(OR(LEFT(A3,1)="A",LEFT(A3,1)="E",LEFT(A3,1)="I",LEFT(A3,1)="O",LEFT(A3,1)="U",LEFT(A3,1)="B",LEFT(A3,1)="C",LEFT(A3,1)="D"),"Show","Hide")</f>
        <v>Show</v>
      </c>
      <c r="O3" t="str">
        <f t="shared" si="1"/>
        <v>Above 50</v>
      </c>
      <c r="P3">
        <f t="shared" si="2"/>
        <v>80567.658215212607</v>
      </c>
      <c r="Q3" t="str">
        <f t="shared" si="3"/>
        <v>&gt;= $10</v>
      </c>
      <c r="R3">
        <f t="shared" si="4"/>
        <v>79913.544554455439</v>
      </c>
      <c r="S3">
        <f t="shared" si="5"/>
        <v>1.26E-2</v>
      </c>
      <c r="T3">
        <f t="shared" si="6"/>
        <v>79708.354730396997</v>
      </c>
      <c r="U3">
        <f t="shared" si="7"/>
        <v>-0.01</v>
      </c>
      <c r="V3">
        <f t="shared" si="8"/>
        <v>1.4666666666666665E-3</v>
      </c>
      <c r="W3" t="str">
        <f t="shared" si="9"/>
        <v>&gt;$50</v>
      </c>
    </row>
    <row r="4" spans="1:23">
      <c r="A4" t="s">
        <v>19</v>
      </c>
      <c r="B4" t="s">
        <v>20</v>
      </c>
      <c r="C4" s="6">
        <v>2324.59</v>
      </c>
      <c r="D4">
        <v>3.0000000000000001E-3</v>
      </c>
      <c r="E4" t="s">
        <v>1071</v>
      </c>
      <c r="F4">
        <v>10716404174</v>
      </c>
      <c r="G4" t="s">
        <v>24</v>
      </c>
      <c r="H4">
        <v>120680000</v>
      </c>
      <c r="I4">
        <v>280930000000</v>
      </c>
      <c r="J4">
        <f>Cleaned_data[[#This Row],[Volume (24h) USD]]/Cleaned_data[[#This Row],[Circulating_Supply($)]]</f>
        <v>88.800167169373552</v>
      </c>
      <c r="K4">
        <f>RANK(Cleaned_data[[#This Row],[  Market Cap]],Cleaned_data[ [  Market Cap] ],0)</f>
        <v>2</v>
      </c>
      <c r="L4" t="str">
        <f t="shared" si="10"/>
        <v>100-10000</v>
      </c>
      <c r="M4">
        <f t="shared" ref="M4:M33" si="11">VALUE(C4)</f>
        <v>2324.59</v>
      </c>
      <c r="N4" t="str">
        <f t="shared" si="0"/>
        <v>Show</v>
      </c>
      <c r="O4" t="str">
        <f t="shared" si="1"/>
        <v>Above 50</v>
      </c>
      <c r="P4">
        <f t="shared" si="2"/>
        <v>2317.6370887337989</v>
      </c>
      <c r="Q4" t="str">
        <f t="shared" si="3"/>
        <v>&gt;= $10</v>
      </c>
      <c r="R4">
        <f t="shared" si="4"/>
        <v>2301.5742574257429</v>
      </c>
      <c r="S4">
        <f t="shared" si="5"/>
        <v>2.1000000000000001E-2</v>
      </c>
      <c r="T4">
        <f t="shared" si="6"/>
        <v>2276.7776689520083</v>
      </c>
      <c r="U4">
        <f t="shared" si="7"/>
        <v>-0.01</v>
      </c>
      <c r="V4">
        <f t="shared" si="8"/>
        <v>4.6666666666666671E-3</v>
      </c>
      <c r="W4" t="str">
        <f t="shared" si="9"/>
        <v>&gt;$50</v>
      </c>
    </row>
    <row r="5" spans="1:23">
      <c r="A5" t="s">
        <v>25</v>
      </c>
      <c r="B5" t="s">
        <v>26</v>
      </c>
      <c r="C5" s="6">
        <v>0.99980000000000002</v>
      </c>
      <c r="D5">
        <v>0</v>
      </c>
      <c r="E5" t="s">
        <v>1072</v>
      </c>
      <c r="F5">
        <v>48312579282</v>
      </c>
      <c r="G5" t="s">
        <v>30</v>
      </c>
      <c r="H5">
        <v>189690000000</v>
      </c>
      <c r="I5">
        <v>189650000000</v>
      </c>
      <c r="J5">
        <f>Cleaned_data[[#This Row],[Volume (24h) USD]]/Cleaned_data[[#This Row],[Circulating_Supply($)]]</f>
        <v>0.25469228363118773</v>
      </c>
      <c r="K5">
        <f>RANK(Cleaned_data[[#This Row],[  Market Cap]],Cleaned_data[ [  Market Cap] ],0)</f>
        <v>3</v>
      </c>
      <c r="L5" t="str">
        <f t="shared" si="10"/>
        <v>0.5-1</v>
      </c>
      <c r="M5">
        <f t="shared" si="11"/>
        <v>0.99980000000000002</v>
      </c>
      <c r="N5" t="str">
        <f t="shared" si="0"/>
        <v>Hide</v>
      </c>
      <c r="O5" t="str">
        <f t="shared" si="1"/>
        <v>0-50</v>
      </c>
      <c r="P5">
        <f t="shared" si="2"/>
        <v>0.99980000000000002</v>
      </c>
      <c r="Q5" t="str">
        <f t="shared" si="3"/>
        <v>Up to $10</v>
      </c>
      <c r="R5">
        <f t="shared" si="4"/>
        <v>0.98990099009900989</v>
      </c>
      <c r="S5">
        <f t="shared" si="5"/>
        <v>0</v>
      </c>
      <c r="T5">
        <f t="shared" si="6"/>
        <v>0.99980000000000002</v>
      </c>
      <c r="U5">
        <f t="shared" si="7"/>
        <v>-0.01</v>
      </c>
      <c r="V5">
        <f t="shared" si="8"/>
        <v>3.3333333333333335E-3</v>
      </c>
      <c r="W5" t="str">
        <f t="shared" si="9"/>
        <v>0.5-5</v>
      </c>
    </row>
    <row r="6" spans="1:23">
      <c r="A6" t="s">
        <v>31</v>
      </c>
      <c r="B6" t="s">
        <v>31</v>
      </c>
      <c r="C6" s="6">
        <v>1.42</v>
      </c>
      <c r="D6">
        <v>1.5E-3</v>
      </c>
      <c r="E6" t="s">
        <v>1073</v>
      </c>
      <c r="F6">
        <v>1116496778</v>
      </c>
      <c r="G6" t="s">
        <v>35</v>
      </c>
      <c r="H6">
        <v>61790000000</v>
      </c>
      <c r="I6">
        <v>88220000000</v>
      </c>
      <c r="J6">
        <f>Cleaned_data[[#This Row],[Volume (24h) USD]]/Cleaned_data[[#This Row],[Circulating_Supply($)]]</f>
        <v>1.8069214727302153E-2</v>
      </c>
      <c r="K6">
        <f>RANK(Cleaned_data[[#This Row],[  Market Cap]],Cleaned_data[ [  Market Cap] ],0)</f>
        <v>4</v>
      </c>
      <c r="L6" t="str">
        <f t="shared" si="10"/>
        <v>1-2</v>
      </c>
      <c r="M6">
        <f t="shared" si="11"/>
        <v>1.42</v>
      </c>
      <c r="N6" t="str">
        <f t="shared" si="0"/>
        <v>Hide</v>
      </c>
      <c r="O6" t="str">
        <f t="shared" si="1"/>
        <v>0-50</v>
      </c>
      <c r="P6">
        <f t="shared" si="2"/>
        <v>1.4178731902146777</v>
      </c>
      <c r="Q6" t="str">
        <f t="shared" si="3"/>
        <v>Up to $10</v>
      </c>
      <c r="R6">
        <f t="shared" si="4"/>
        <v>1.4059405940594059</v>
      </c>
      <c r="S6">
        <f t="shared" si="5"/>
        <v>1.0500000000000001E-2</v>
      </c>
      <c r="T6">
        <f t="shared" si="6"/>
        <v>1.4052449282533399</v>
      </c>
      <c r="U6">
        <f t="shared" si="7"/>
        <v>-0.01</v>
      </c>
      <c r="V6">
        <f t="shared" si="8"/>
        <v>6.6666666666666664E-4</v>
      </c>
      <c r="W6" t="str">
        <f t="shared" si="9"/>
        <v>0.5-5</v>
      </c>
    </row>
    <row r="7" spans="1:23">
      <c r="A7" t="s">
        <v>36</v>
      </c>
      <c r="B7" t="s">
        <v>36</v>
      </c>
      <c r="C7" s="6">
        <v>651.03</v>
      </c>
      <c r="D7">
        <v>8.9999999999999998E-4</v>
      </c>
      <c r="E7" t="s">
        <v>1074</v>
      </c>
      <c r="F7">
        <v>778535503</v>
      </c>
      <c r="G7" t="s">
        <v>40</v>
      </c>
      <c r="H7">
        <v>134780000</v>
      </c>
      <c r="I7">
        <v>87800000000</v>
      </c>
      <c r="J7">
        <f>Cleaned_data[[#This Row],[Volume (24h) USD]]/Cleaned_data[[#This Row],[Circulating_Supply($)]]</f>
        <v>5.7763429514764804</v>
      </c>
      <c r="K7">
        <f>RANK(Cleaned_data[[#This Row],[  Market Cap]],Cleaned_data[ [  Market Cap] ],0)</f>
        <v>5</v>
      </c>
      <c r="L7" t="str">
        <f t="shared" si="10"/>
        <v>100-10000</v>
      </c>
      <c r="M7">
        <f t="shared" si="11"/>
        <v>651.03</v>
      </c>
      <c r="N7" t="str">
        <f t="shared" si="0"/>
        <v>Show</v>
      </c>
      <c r="O7" t="str">
        <f t="shared" si="1"/>
        <v>Above 50</v>
      </c>
      <c r="P7">
        <f t="shared" si="2"/>
        <v>650.44459986012589</v>
      </c>
      <c r="Q7" t="str">
        <f t="shared" si="3"/>
        <v>&gt;= $10</v>
      </c>
      <c r="R7">
        <f t="shared" si="4"/>
        <v>644.58415841584156</v>
      </c>
      <c r="S7">
        <f t="shared" si="5"/>
        <v>6.3E-3</v>
      </c>
      <c r="T7">
        <f t="shared" si="6"/>
        <v>646.95418861174596</v>
      </c>
      <c r="U7">
        <f t="shared" si="7"/>
        <v>-0.01</v>
      </c>
      <c r="V7">
        <f t="shared" si="8"/>
        <v>9.3333333333333343E-4</v>
      </c>
      <c r="W7" t="str">
        <f t="shared" si="9"/>
        <v>&gt;$50</v>
      </c>
    </row>
    <row r="8" spans="1:23">
      <c r="A8" t="s">
        <v>41</v>
      </c>
      <c r="B8" t="s">
        <v>41</v>
      </c>
      <c r="C8" s="6">
        <v>0.99980000000000002</v>
      </c>
      <c r="D8">
        <v>1E-4</v>
      </c>
      <c r="E8" t="s">
        <v>1075</v>
      </c>
      <c r="F8">
        <v>5322893046</v>
      </c>
      <c r="G8" t="s">
        <v>44</v>
      </c>
      <c r="H8">
        <v>77890000000</v>
      </c>
      <c r="I8">
        <v>77880000000</v>
      </c>
      <c r="J8">
        <f>Cleaned_data[[#This Row],[Volume (24h) USD]]/Cleaned_data[[#This Row],[Circulating_Supply($)]]</f>
        <v>6.8338593477981768E-2</v>
      </c>
      <c r="K8">
        <f>RANK(Cleaned_data[[#This Row],[  Market Cap]],Cleaned_data[ [  Market Cap] ],0)</f>
        <v>6</v>
      </c>
      <c r="L8" t="str">
        <f t="shared" si="10"/>
        <v>0.5-1</v>
      </c>
      <c r="M8">
        <f t="shared" si="11"/>
        <v>0.99980000000000002</v>
      </c>
      <c r="N8" t="str">
        <f t="shared" si="0"/>
        <v>Show</v>
      </c>
      <c r="O8" t="str">
        <f t="shared" si="1"/>
        <v>0-50</v>
      </c>
      <c r="P8">
        <f t="shared" si="2"/>
        <v>0.99970002999700036</v>
      </c>
      <c r="Q8" t="str">
        <f t="shared" si="3"/>
        <v>Up to $10</v>
      </c>
      <c r="R8">
        <f t="shared" si="4"/>
        <v>0.98990099009900989</v>
      </c>
      <c r="S8">
        <f t="shared" si="5"/>
        <v>6.9999999999999999E-4</v>
      </c>
      <c r="T8">
        <f t="shared" si="6"/>
        <v>0.99910062955930856</v>
      </c>
      <c r="U8">
        <f t="shared" si="7"/>
        <v>-0.01</v>
      </c>
      <c r="V8">
        <f t="shared" si="8"/>
        <v>3.0666666666666672E-3</v>
      </c>
      <c r="W8" t="str">
        <f t="shared" si="9"/>
        <v>0.5-5</v>
      </c>
    </row>
    <row r="9" spans="1:23">
      <c r="A9" t="s">
        <v>45</v>
      </c>
      <c r="B9" t="s">
        <v>46</v>
      </c>
      <c r="C9" s="6">
        <v>94.31</v>
      </c>
      <c r="D9">
        <v>3.2000000000000002E-3</v>
      </c>
      <c r="E9" t="s">
        <v>1076</v>
      </c>
      <c r="F9">
        <v>3160895215</v>
      </c>
      <c r="G9" t="s">
        <v>50</v>
      </c>
      <c r="H9">
        <v>577560000</v>
      </c>
      <c r="I9">
        <v>54470000000</v>
      </c>
      <c r="J9">
        <f>Cleaned_data[[#This Row],[Volume (24h) USD]]/Cleaned_data[[#This Row],[Circulating_Supply($)]]</f>
        <v>5.4728430206385488</v>
      </c>
      <c r="K9">
        <f>RANK(Cleaned_data[[#This Row],[  Market Cap]],Cleaned_data[ [  Market Cap] ],0)</f>
        <v>7</v>
      </c>
      <c r="L9" t="str">
        <f t="shared" si="10"/>
        <v>10-100</v>
      </c>
      <c r="M9">
        <f t="shared" si="11"/>
        <v>94.31</v>
      </c>
      <c r="N9" t="str">
        <f t="shared" si="0"/>
        <v>Hide</v>
      </c>
      <c r="O9" t="str">
        <f t="shared" si="1"/>
        <v>Above 50</v>
      </c>
      <c r="P9">
        <f t="shared" si="2"/>
        <v>94.009170653907489</v>
      </c>
      <c r="Q9" t="str">
        <f t="shared" si="3"/>
        <v>&gt;= $10</v>
      </c>
      <c r="R9">
        <f t="shared" si="4"/>
        <v>93.376237623762378</v>
      </c>
      <c r="S9">
        <f t="shared" si="5"/>
        <v>2.24E-2</v>
      </c>
      <c r="T9">
        <f t="shared" si="6"/>
        <v>92.243740219092331</v>
      </c>
      <c r="U9">
        <f t="shared" si="7"/>
        <v>-0.01</v>
      </c>
      <c r="V9">
        <f t="shared" si="8"/>
        <v>5.1999999999999998E-3</v>
      </c>
      <c r="W9" t="str">
        <f t="shared" si="9"/>
        <v>&gt;$50</v>
      </c>
    </row>
    <row r="10" spans="1:23">
      <c r="A10" t="s">
        <v>51</v>
      </c>
      <c r="B10" t="s">
        <v>52</v>
      </c>
      <c r="C10" s="6">
        <v>0.34920000000000001</v>
      </c>
      <c r="D10">
        <v>1E-4</v>
      </c>
      <c r="E10" t="s">
        <v>1077</v>
      </c>
      <c r="F10">
        <v>598206865</v>
      </c>
      <c r="G10" t="s">
        <v>55</v>
      </c>
      <c r="H10">
        <v>94790000000</v>
      </c>
      <c r="I10">
        <v>33100000000</v>
      </c>
      <c r="J10">
        <f>Cleaned_data[[#This Row],[Volume (24h) USD]]/Cleaned_data[[#This Row],[Circulating_Supply($)]]</f>
        <v>6.3108647009178179E-3</v>
      </c>
      <c r="K10">
        <f>RANK(Cleaned_data[[#This Row],[  Market Cap]],Cleaned_data[ [  Market Cap] ],0)</f>
        <v>8</v>
      </c>
      <c r="L10" t="str">
        <f t="shared" si="10"/>
        <v>0-0.5</v>
      </c>
      <c r="M10">
        <f t="shared" si="11"/>
        <v>0.34920000000000001</v>
      </c>
      <c r="N10" t="str">
        <f t="shared" si="0"/>
        <v>Hide</v>
      </c>
      <c r="O10" t="str">
        <f t="shared" si="1"/>
        <v>0-50</v>
      </c>
      <c r="P10">
        <f t="shared" si="2"/>
        <v>0.34916508349165087</v>
      </c>
      <c r="Q10" t="str">
        <f t="shared" si="3"/>
        <v>Up to $10</v>
      </c>
      <c r="R10">
        <f t="shared" si="4"/>
        <v>0.34574257425742577</v>
      </c>
      <c r="S10">
        <f t="shared" si="5"/>
        <v>6.9999999999999999E-4</v>
      </c>
      <c r="T10">
        <f t="shared" si="6"/>
        <v>0.34895573098830823</v>
      </c>
      <c r="U10">
        <f t="shared" si="7"/>
        <v>-0.01</v>
      </c>
      <c r="V10">
        <f t="shared" si="8"/>
        <v>3.0666666666666672E-3</v>
      </c>
      <c r="W10" t="str">
        <f t="shared" si="9"/>
        <v>0.05-0.5</v>
      </c>
    </row>
    <row r="11" spans="1:23">
      <c r="A11" t="s">
        <v>56</v>
      </c>
      <c r="B11" t="s">
        <v>57</v>
      </c>
      <c r="C11" s="6">
        <v>0.1085</v>
      </c>
      <c r="D11">
        <v>8.0000000000000004E-4</v>
      </c>
      <c r="E11" t="s">
        <v>1078</v>
      </c>
      <c r="F11">
        <v>631560189</v>
      </c>
      <c r="G11" t="s">
        <v>61</v>
      </c>
      <c r="H11">
        <v>154170000000</v>
      </c>
      <c r="I11">
        <v>16740000000</v>
      </c>
      <c r="J11">
        <f>Cleaned_data[[#This Row],[Volume (24h) USD]]/Cleaned_data[[#This Row],[Circulating_Supply($)]]</f>
        <v>4.0965180579879351E-3</v>
      </c>
      <c r="K11">
        <f>RANK(Cleaned_data[[#This Row],[  Market Cap]],Cleaned_data[ [  Market Cap] ],0)</f>
        <v>9</v>
      </c>
      <c r="L11" t="str">
        <f t="shared" si="10"/>
        <v>0-0.5</v>
      </c>
      <c r="M11">
        <f t="shared" si="11"/>
        <v>0.1085</v>
      </c>
      <c r="N11" t="str">
        <f t="shared" si="0"/>
        <v>Show</v>
      </c>
      <c r="O11" t="str">
        <f t="shared" si="1"/>
        <v>0-50</v>
      </c>
      <c r="P11">
        <f t="shared" si="2"/>
        <v>0.10841326938449242</v>
      </c>
      <c r="Q11" t="str">
        <f t="shared" si="3"/>
        <v>Up to $10</v>
      </c>
      <c r="R11">
        <f t="shared" si="4"/>
        <v>0.10742574257425742</v>
      </c>
      <c r="S11">
        <f t="shared" si="5"/>
        <v>5.5999999999999999E-3</v>
      </c>
      <c r="T11">
        <f t="shared" si="6"/>
        <v>0.10789578361177406</v>
      </c>
      <c r="U11">
        <f t="shared" si="7"/>
        <v>-0.01</v>
      </c>
      <c r="V11">
        <f t="shared" si="8"/>
        <v>1.1999999999999999E-3</v>
      </c>
      <c r="W11" t="str">
        <f t="shared" si="9"/>
        <v>0.05-0.5</v>
      </c>
    </row>
    <row r="12" spans="1:23">
      <c r="A12" t="s">
        <v>62</v>
      </c>
      <c r="B12" t="s">
        <v>63</v>
      </c>
      <c r="C12" s="6">
        <v>0.43659999999999999</v>
      </c>
      <c r="D12">
        <v>6.9999999999999999E-4</v>
      </c>
      <c r="E12" t="s">
        <v>1079</v>
      </c>
      <c r="F12">
        <v>41931037</v>
      </c>
      <c r="G12" t="s">
        <v>67</v>
      </c>
      <c r="H12">
        <v>915330000</v>
      </c>
      <c r="I12">
        <v>399650000</v>
      </c>
      <c r="J12">
        <f>Cleaned_data[[#This Row],[Volume (24h) USD]]/Cleaned_data[[#This Row],[Circulating_Supply($)]]</f>
        <v>4.5809748396753086E-2</v>
      </c>
      <c r="K12">
        <f>RANK(Cleaned_data[[#This Row],[  Market Cap]],Cleaned_data[ [  Market Cap] ],0)</f>
        <v>20</v>
      </c>
      <c r="L12" t="str">
        <f t="shared" si="10"/>
        <v>0-0.5</v>
      </c>
      <c r="M12">
        <f t="shared" si="11"/>
        <v>0.43659999999999999</v>
      </c>
      <c r="N12" t="str">
        <f t="shared" si="0"/>
        <v>Show</v>
      </c>
      <c r="O12" t="str">
        <f t="shared" si="1"/>
        <v>0-50</v>
      </c>
      <c r="P12">
        <f t="shared" si="2"/>
        <v>0.43629459378435098</v>
      </c>
      <c r="Q12" t="str">
        <f t="shared" si="3"/>
        <v>Up to $10</v>
      </c>
      <c r="R12">
        <f t="shared" si="4"/>
        <v>0.43227722772277227</v>
      </c>
      <c r="S12">
        <f t="shared" si="5"/>
        <v>4.8999999999999998E-3</v>
      </c>
      <c r="T12">
        <f t="shared" si="6"/>
        <v>0.43447109165091058</v>
      </c>
      <c r="U12">
        <f t="shared" si="7"/>
        <v>-0.01</v>
      </c>
      <c r="V12">
        <f t="shared" si="8"/>
        <v>1.4666666666666671E-3</v>
      </c>
      <c r="W12" t="str">
        <f t="shared" si="9"/>
        <v>0.05-0.5</v>
      </c>
    </row>
    <row r="13" spans="1:23">
      <c r="A13" t="s">
        <v>68</v>
      </c>
      <c r="B13" t="s">
        <v>69</v>
      </c>
      <c r="C13" s="6">
        <v>0.99929999999999997</v>
      </c>
      <c r="D13">
        <v>1E-4</v>
      </c>
      <c r="E13" t="s">
        <v>1080</v>
      </c>
      <c r="F13">
        <v>207228664</v>
      </c>
      <c r="G13" t="s">
        <v>72</v>
      </c>
      <c r="H13">
        <v>399730000</v>
      </c>
      <c r="I13">
        <v>399460000</v>
      </c>
      <c r="J13">
        <f>Cleaned_data[[#This Row],[Volume (24h) USD]]/Cleaned_data[[#This Row],[Circulating_Supply($)]]</f>
        <v>0.51842159457633907</v>
      </c>
      <c r="K13">
        <f>RANK(Cleaned_data[[#This Row],[  Market Cap]],Cleaned_data[ [  Market Cap] ],0)</f>
        <v>21</v>
      </c>
      <c r="L13" t="str">
        <f t="shared" si="10"/>
        <v>0.5-1</v>
      </c>
      <c r="M13">
        <f t="shared" si="11"/>
        <v>0.99929999999999997</v>
      </c>
      <c r="N13" t="str">
        <f t="shared" si="0"/>
        <v>Hide</v>
      </c>
      <c r="O13" t="str">
        <f t="shared" si="1"/>
        <v>0-50</v>
      </c>
      <c r="P13">
        <f t="shared" si="2"/>
        <v>0.99920007999200078</v>
      </c>
      <c r="Q13" t="str">
        <f t="shared" si="3"/>
        <v>Up to $10</v>
      </c>
      <c r="R13">
        <f t="shared" si="4"/>
        <v>0.9894059405940594</v>
      </c>
      <c r="S13">
        <f t="shared" si="5"/>
        <v>6.9999999999999999E-4</v>
      </c>
      <c r="T13">
        <f t="shared" si="6"/>
        <v>0.99860097931447989</v>
      </c>
      <c r="U13">
        <f t="shared" si="7"/>
        <v>-0.01</v>
      </c>
      <c r="V13">
        <f t="shared" si="8"/>
        <v>3.0666666666666672E-3</v>
      </c>
      <c r="W13" t="str">
        <f t="shared" si="9"/>
        <v>0.5-5</v>
      </c>
    </row>
    <row r="14" spans="1:23">
      <c r="A14" t="s">
        <v>73</v>
      </c>
      <c r="B14" t="s">
        <v>74</v>
      </c>
      <c r="C14" s="6">
        <v>2.0330000000000001E-2</v>
      </c>
      <c r="D14">
        <v>4.0000000000000002E-4</v>
      </c>
      <c r="E14" t="s">
        <v>1081</v>
      </c>
      <c r="F14">
        <v>65218320</v>
      </c>
      <c r="G14" t="s">
        <v>78</v>
      </c>
      <c r="H14">
        <v>19220000000</v>
      </c>
      <c r="I14">
        <v>390900000</v>
      </c>
      <c r="J14">
        <f>Cleaned_data[[#This Row],[Volume (24h) USD]]/Cleaned_data[[#This Row],[Circulating_Supply($)]]</f>
        <v>3.3932528616024975E-3</v>
      </c>
      <c r="K14">
        <f>RANK(Cleaned_data[[#This Row],[  Market Cap]],Cleaned_data[ [  Market Cap] ],0)</f>
        <v>22</v>
      </c>
      <c r="L14" t="str">
        <f t="shared" si="10"/>
        <v>0-0.5</v>
      </c>
      <c r="M14">
        <f t="shared" si="11"/>
        <v>2.0330000000000001E-2</v>
      </c>
      <c r="N14" t="str">
        <f t="shared" si="0"/>
        <v>Hide</v>
      </c>
      <c r="O14" t="str">
        <f t="shared" si="1"/>
        <v>0-50</v>
      </c>
      <c r="P14">
        <f t="shared" si="2"/>
        <v>2.0321871251499403E-2</v>
      </c>
      <c r="Q14" t="str">
        <f t="shared" si="3"/>
        <v>Up to $10</v>
      </c>
      <c r="R14">
        <f t="shared" si="4"/>
        <v>2.0128712871287129E-2</v>
      </c>
      <c r="S14">
        <f t="shared" si="5"/>
        <v>2.8E-3</v>
      </c>
      <c r="T14">
        <f t="shared" si="6"/>
        <v>2.027323494216195E-2</v>
      </c>
      <c r="U14">
        <f t="shared" si="7"/>
        <v>-0.01</v>
      </c>
      <c r="V14">
        <f t="shared" si="8"/>
        <v>2.2666666666666668E-3</v>
      </c>
      <c r="W14" t="str">
        <f t="shared" si="9"/>
        <v>0-0.05</v>
      </c>
    </row>
    <row r="15" spans="1:23">
      <c r="A15" t="s">
        <v>79</v>
      </c>
      <c r="B15" t="s">
        <v>80</v>
      </c>
      <c r="C15" s="6">
        <v>0.25519999999999998</v>
      </c>
      <c r="D15">
        <v>0</v>
      </c>
      <c r="E15" t="s">
        <v>1082</v>
      </c>
      <c r="F15">
        <v>38651475</v>
      </c>
      <c r="G15" t="s">
        <v>83</v>
      </c>
      <c r="H15">
        <v>1500000000</v>
      </c>
      <c r="I15">
        <v>383100000</v>
      </c>
      <c r="J15">
        <f>Cleaned_data[[#This Row],[Volume (24h) USD]]/Cleaned_data[[#This Row],[Circulating_Supply($)]]</f>
        <v>2.576765E-2</v>
      </c>
      <c r="K15">
        <f>RANK(Cleaned_data[[#This Row],[  Market Cap]],Cleaned_data[ [  Market Cap] ],0)</f>
        <v>23</v>
      </c>
      <c r="L15" t="str">
        <f t="shared" si="10"/>
        <v>0-0.5</v>
      </c>
      <c r="M15">
        <f t="shared" si="11"/>
        <v>0.25519999999999998</v>
      </c>
      <c r="N15" t="str">
        <f t="shared" si="0"/>
        <v>Show</v>
      </c>
      <c r="O15" t="str">
        <f t="shared" si="1"/>
        <v>0-50</v>
      </c>
      <c r="P15">
        <f t="shared" si="2"/>
        <v>0.25519999999999998</v>
      </c>
      <c r="Q15" t="str">
        <f t="shared" si="3"/>
        <v>Up to $10</v>
      </c>
      <c r="R15">
        <f t="shared" si="4"/>
        <v>0.25267326732673268</v>
      </c>
      <c r="S15">
        <f t="shared" si="5"/>
        <v>0</v>
      </c>
      <c r="T15">
        <f t="shared" si="6"/>
        <v>0.25519999999999998</v>
      </c>
      <c r="U15">
        <f t="shared" si="7"/>
        <v>-0.01</v>
      </c>
      <c r="V15">
        <f t="shared" si="8"/>
        <v>3.3333333333333335E-3</v>
      </c>
      <c r="W15" t="str">
        <f t="shared" si="9"/>
        <v>0.05-0.5</v>
      </c>
    </row>
    <row r="16" spans="1:23">
      <c r="A16" t="s">
        <v>84</v>
      </c>
      <c r="B16" t="s">
        <v>84</v>
      </c>
      <c r="C16" s="6">
        <v>0.38229999999999997</v>
      </c>
      <c r="D16">
        <v>1.0200000000000001E-2</v>
      </c>
      <c r="E16" t="s">
        <v>1083</v>
      </c>
      <c r="F16">
        <v>13327681</v>
      </c>
      <c r="G16" t="s">
        <v>88</v>
      </c>
      <c r="H16">
        <v>1000000000</v>
      </c>
      <c r="I16">
        <v>382380000</v>
      </c>
      <c r="J16">
        <f>Cleaned_data[[#This Row],[Volume (24h) USD]]/Cleaned_data[[#This Row],[Circulating_Supply($)]]</f>
        <v>1.3327680999999999E-2</v>
      </c>
      <c r="K16">
        <f>RANK(Cleaned_data[[#This Row],[  Market Cap]],Cleaned_data[ [  Market Cap] ],0)</f>
        <v>24</v>
      </c>
      <c r="L16" t="str">
        <f t="shared" si="10"/>
        <v>0-0.5</v>
      </c>
      <c r="M16">
        <f t="shared" si="11"/>
        <v>0.38229999999999997</v>
      </c>
      <c r="N16" t="str">
        <f t="shared" si="0"/>
        <v>Hide</v>
      </c>
      <c r="O16" t="str">
        <f t="shared" si="1"/>
        <v>0-50</v>
      </c>
      <c r="P16">
        <f t="shared" si="2"/>
        <v>0.3784399128885369</v>
      </c>
      <c r="Q16" t="str">
        <f t="shared" si="3"/>
        <v>Up to $10</v>
      </c>
      <c r="R16">
        <f t="shared" si="4"/>
        <v>0.37851485148514846</v>
      </c>
      <c r="S16">
        <f t="shared" si="5"/>
        <v>7.1400000000000005E-2</v>
      </c>
      <c r="T16">
        <f t="shared" si="6"/>
        <v>0.35682284860929625</v>
      </c>
      <c r="U16">
        <f t="shared" si="7"/>
        <v>-0.01</v>
      </c>
      <c r="V16">
        <f t="shared" si="8"/>
        <v>2.3866666666666671E-2</v>
      </c>
      <c r="W16" t="str">
        <f t="shared" si="9"/>
        <v>0.05-0.5</v>
      </c>
    </row>
    <row r="17" spans="1:23">
      <c r="A17" t="s">
        <v>89</v>
      </c>
      <c r="B17" t="s">
        <v>90</v>
      </c>
      <c r="C17" s="6">
        <v>0.45429999999999998</v>
      </c>
      <c r="D17">
        <v>4.8999999999999998E-3</v>
      </c>
      <c r="E17" t="s">
        <v>1084</v>
      </c>
      <c r="F17">
        <v>25479355</v>
      </c>
      <c r="G17" t="s">
        <v>94</v>
      </c>
      <c r="H17">
        <v>835960000</v>
      </c>
      <c r="I17">
        <v>379820000</v>
      </c>
      <c r="J17">
        <f>Cleaned_data[[#This Row],[Volume (24h) USD]]/Cleaned_data[[#This Row],[Circulating_Supply($)]]</f>
        <v>3.0479155701229724E-2</v>
      </c>
      <c r="K17">
        <f>RANK(Cleaned_data[[#This Row],[  Market Cap]],Cleaned_data[ [  Market Cap] ],0)</f>
        <v>25</v>
      </c>
      <c r="L17" t="str">
        <f t="shared" si="10"/>
        <v>0-0.5</v>
      </c>
      <c r="M17">
        <f t="shared" si="11"/>
        <v>0.45429999999999998</v>
      </c>
      <c r="N17" t="str">
        <f t="shared" si="0"/>
        <v>Show</v>
      </c>
      <c r="O17" t="str">
        <f t="shared" si="1"/>
        <v>0-50</v>
      </c>
      <c r="P17">
        <f t="shared" si="2"/>
        <v>0.45208478455567719</v>
      </c>
      <c r="Q17" t="str">
        <f t="shared" si="3"/>
        <v>Up to $10</v>
      </c>
      <c r="R17">
        <f t="shared" si="4"/>
        <v>0.44980198019801976</v>
      </c>
      <c r="S17">
        <f t="shared" si="5"/>
        <v>3.4299999999999997E-2</v>
      </c>
      <c r="T17">
        <f t="shared" si="6"/>
        <v>0.43923426472010052</v>
      </c>
      <c r="U17">
        <f t="shared" si="7"/>
        <v>-0.01</v>
      </c>
      <c r="V17">
        <f t="shared" si="8"/>
        <v>9.7333333333333317E-3</v>
      </c>
      <c r="W17" t="str">
        <f t="shared" si="9"/>
        <v>0.05-0.5</v>
      </c>
    </row>
    <row r="18" spans="1:23">
      <c r="A18" t="s">
        <v>95</v>
      </c>
      <c r="B18" t="s">
        <v>96</v>
      </c>
      <c r="C18" s="6">
        <v>0.18840000000000001</v>
      </c>
      <c r="D18">
        <v>1E-3</v>
      </c>
      <c r="E18" t="s">
        <v>1085</v>
      </c>
      <c r="F18">
        <v>20503923</v>
      </c>
      <c r="G18" t="s">
        <v>100</v>
      </c>
      <c r="H18">
        <v>2000000000</v>
      </c>
      <c r="I18">
        <v>376940000</v>
      </c>
      <c r="J18">
        <f>Cleaned_data[[#This Row],[Volume (24h) USD]]/Cleaned_data[[#This Row],[Circulating_Supply($)]]</f>
        <v>1.02519615E-2</v>
      </c>
      <c r="K18">
        <f>RANK(Cleaned_data[[#This Row],[  Market Cap]],Cleaned_data[ [  Market Cap] ],0)</f>
        <v>26</v>
      </c>
      <c r="L18" t="str">
        <f t="shared" si="10"/>
        <v>0-0.5</v>
      </c>
      <c r="M18">
        <f t="shared" si="11"/>
        <v>0.18840000000000001</v>
      </c>
      <c r="N18" t="str">
        <f t="shared" si="0"/>
        <v>Show</v>
      </c>
      <c r="O18" t="str">
        <f t="shared" si="1"/>
        <v>0-50</v>
      </c>
      <c r="P18">
        <f t="shared" si="2"/>
        <v>0.18821178821178824</v>
      </c>
      <c r="Q18" t="str">
        <f t="shared" si="3"/>
        <v>Up to $10</v>
      </c>
      <c r="R18">
        <f t="shared" si="4"/>
        <v>0.18653465346534653</v>
      </c>
      <c r="S18">
        <f t="shared" si="5"/>
        <v>7.0000000000000001E-3</v>
      </c>
      <c r="T18">
        <f t="shared" si="6"/>
        <v>0.187090367428004</v>
      </c>
      <c r="U18">
        <f t="shared" si="7"/>
        <v>-0.01</v>
      </c>
      <c r="V18">
        <f t="shared" si="8"/>
        <v>6.6666666666666697E-4</v>
      </c>
      <c r="W18" t="str">
        <f t="shared" si="9"/>
        <v>0.05-0.5</v>
      </c>
    </row>
    <row r="19" spans="1:23">
      <c r="A19" t="s">
        <v>101</v>
      </c>
      <c r="B19" t="s">
        <v>102</v>
      </c>
      <c r="C19" s="6">
        <v>0.1027</v>
      </c>
      <c r="D19">
        <v>1E-3</v>
      </c>
      <c r="E19" t="s">
        <v>1086</v>
      </c>
      <c r="F19">
        <v>11030947</v>
      </c>
      <c r="G19" t="s">
        <v>105</v>
      </c>
      <c r="H19">
        <v>3470000000</v>
      </c>
      <c r="I19">
        <v>356840000</v>
      </c>
      <c r="J19">
        <f>Cleaned_data[[#This Row],[Volume (24h) USD]]/Cleaned_data[[#This Row],[Circulating_Supply($)]]</f>
        <v>3.1789472622478386E-3</v>
      </c>
      <c r="K19">
        <f>RANK(Cleaned_data[[#This Row],[  Market Cap]],Cleaned_data[ [  Market Cap] ],0)</f>
        <v>27</v>
      </c>
      <c r="L19" t="str">
        <f t="shared" si="10"/>
        <v>0-0.5</v>
      </c>
      <c r="M19">
        <f t="shared" si="11"/>
        <v>0.1027</v>
      </c>
      <c r="N19" t="str">
        <f t="shared" si="0"/>
        <v>Show</v>
      </c>
      <c r="O19" t="str">
        <f t="shared" si="1"/>
        <v>0-50</v>
      </c>
      <c r="P19">
        <f t="shared" si="2"/>
        <v>0.1025974025974026</v>
      </c>
      <c r="Q19" t="str">
        <f t="shared" si="3"/>
        <v>Up to $10</v>
      </c>
      <c r="R19">
        <f t="shared" si="4"/>
        <v>0.10168316831683168</v>
      </c>
      <c r="S19">
        <f t="shared" si="5"/>
        <v>7.0000000000000001E-3</v>
      </c>
      <c r="T19">
        <f t="shared" si="6"/>
        <v>0.10198609731876863</v>
      </c>
      <c r="U19">
        <f t="shared" si="7"/>
        <v>-0.01</v>
      </c>
      <c r="V19">
        <f t="shared" si="8"/>
        <v>6.6666666666666697E-4</v>
      </c>
      <c r="W19" t="str">
        <f t="shared" si="9"/>
        <v>0.05-0.5</v>
      </c>
    </row>
    <row r="20" spans="1:23">
      <c r="A20" t="s">
        <v>106</v>
      </c>
      <c r="B20" t="s">
        <v>107</v>
      </c>
      <c r="C20" s="6">
        <v>0.35120000000000001</v>
      </c>
      <c r="D20">
        <v>9.4000000000000004E-3</v>
      </c>
      <c r="E20" t="s">
        <v>1087</v>
      </c>
      <c r="F20">
        <v>43376749</v>
      </c>
      <c r="G20" t="s">
        <v>88</v>
      </c>
      <c r="H20">
        <v>1000000000</v>
      </c>
      <c r="I20">
        <v>351230000</v>
      </c>
      <c r="J20">
        <f>Cleaned_data[[#This Row],[Volume (24h) USD]]/Cleaned_data[[#This Row],[Circulating_Supply($)]]</f>
        <v>4.3376748999999999E-2</v>
      </c>
      <c r="K20">
        <f>RANK(Cleaned_data[[#This Row],[  Market Cap]],Cleaned_data[ [  Market Cap] ],0)</f>
        <v>28</v>
      </c>
      <c r="L20" t="str">
        <f t="shared" si="10"/>
        <v>0-0.5</v>
      </c>
      <c r="M20">
        <f t="shared" si="11"/>
        <v>0.35120000000000001</v>
      </c>
      <c r="N20" t="str">
        <f t="shared" si="0"/>
        <v>Show</v>
      </c>
      <c r="O20" t="str">
        <f t="shared" si="1"/>
        <v>0-50</v>
      </c>
      <c r="P20">
        <f t="shared" si="2"/>
        <v>0.34792946304735484</v>
      </c>
      <c r="Q20" t="str">
        <f t="shared" si="3"/>
        <v>Up to $10</v>
      </c>
      <c r="R20">
        <f t="shared" si="4"/>
        <v>0.34772277227722775</v>
      </c>
      <c r="S20">
        <f t="shared" si="5"/>
        <v>6.5799999999999997E-2</v>
      </c>
      <c r="T20">
        <f t="shared" si="6"/>
        <v>0.329517733158191</v>
      </c>
      <c r="U20">
        <f t="shared" si="7"/>
        <v>-0.01</v>
      </c>
      <c r="V20">
        <f t="shared" si="8"/>
        <v>2.173333333333333E-2</v>
      </c>
      <c r="W20" t="str">
        <f t="shared" si="9"/>
        <v>0.05-0.5</v>
      </c>
    </row>
    <row r="21" spans="1:23">
      <c r="A21" t="s">
        <v>111</v>
      </c>
      <c r="B21" t="s">
        <v>112</v>
      </c>
      <c r="C21" s="6">
        <v>132.97</v>
      </c>
      <c r="D21">
        <v>2.9999999999999997E-4</v>
      </c>
      <c r="E21" t="s">
        <v>1088</v>
      </c>
      <c r="F21">
        <v>1606123</v>
      </c>
      <c r="G21" t="s">
        <v>115</v>
      </c>
      <c r="H21">
        <v>2630000</v>
      </c>
      <c r="I21">
        <v>350980000</v>
      </c>
      <c r="J21">
        <f>Cleaned_data[[#This Row],[Volume (24h) USD]]/Cleaned_data[[#This Row],[Circulating_Supply($)]]</f>
        <v>0.61069315589353612</v>
      </c>
      <c r="K21">
        <f>RANK(Cleaned_data[[#This Row],[  Market Cap]],Cleaned_data[ [  Market Cap] ],0)</f>
        <v>29</v>
      </c>
      <c r="L21" t="str">
        <f t="shared" si="10"/>
        <v>100-10000</v>
      </c>
      <c r="M21">
        <f t="shared" si="11"/>
        <v>132.97</v>
      </c>
      <c r="N21" t="str">
        <f t="shared" si="0"/>
        <v>Hide</v>
      </c>
      <c r="O21" t="str">
        <f t="shared" si="1"/>
        <v>Above 50</v>
      </c>
      <c r="P21">
        <f t="shared" si="2"/>
        <v>132.93012096371089</v>
      </c>
      <c r="Q21" t="str">
        <f t="shared" si="3"/>
        <v>&gt;= $10</v>
      </c>
      <c r="R21">
        <f t="shared" si="4"/>
        <v>131.65346534653466</v>
      </c>
      <c r="S21">
        <f t="shared" si="5"/>
        <v>2.0999999999999999E-3</v>
      </c>
      <c r="T21">
        <f t="shared" si="6"/>
        <v>132.69134816884542</v>
      </c>
      <c r="U21">
        <f t="shared" si="7"/>
        <v>-0.01</v>
      </c>
      <c r="V21">
        <f t="shared" si="8"/>
        <v>2.5333333333333336E-3</v>
      </c>
      <c r="W21" t="str">
        <f t="shared" si="9"/>
        <v>&gt;$50</v>
      </c>
    </row>
    <row r="22" spans="1:23">
      <c r="A22" t="s">
        <v>116</v>
      </c>
      <c r="B22" t="s">
        <v>117</v>
      </c>
      <c r="C22" s="6">
        <v>7.4920000000000004E-3</v>
      </c>
      <c r="D22">
        <v>1.5E-3</v>
      </c>
      <c r="E22" t="s">
        <v>1089</v>
      </c>
      <c r="F22">
        <v>27298130</v>
      </c>
      <c r="G22" t="s">
        <v>120</v>
      </c>
      <c r="H22">
        <v>478410000000</v>
      </c>
      <c r="I22">
        <v>3580000000</v>
      </c>
      <c r="J22">
        <f>Cleaned_data[[#This Row],[Volume (24h) USD]]/Cleaned_data[[#This Row],[Circulating_Supply($)]]</f>
        <v>5.7060115800255011E-5</v>
      </c>
      <c r="K22">
        <f>RANK(Cleaned_data[[#This Row],[  Market Cap]],Cleaned_data[ [  Market Cap] ],0)</f>
        <v>10</v>
      </c>
      <c r="L22" t="str">
        <f t="shared" si="10"/>
        <v>0-0.5</v>
      </c>
      <c r="M22">
        <f t="shared" si="11"/>
        <v>7.4920000000000004E-3</v>
      </c>
      <c r="N22" t="str">
        <f t="shared" si="0"/>
        <v>Hide</v>
      </c>
      <c r="O22" t="str">
        <f t="shared" si="1"/>
        <v>0-50</v>
      </c>
      <c r="P22">
        <f t="shared" si="2"/>
        <v>7.4807788317523714E-3</v>
      </c>
      <c r="Q22" t="str">
        <f t="shared" si="3"/>
        <v>Up to $10</v>
      </c>
      <c r="R22">
        <f t="shared" si="4"/>
        <v>7.4178217821782178E-3</v>
      </c>
      <c r="S22">
        <f t="shared" si="5"/>
        <v>1.0500000000000001E-2</v>
      </c>
      <c r="T22">
        <f t="shared" si="6"/>
        <v>7.4141514101929741E-3</v>
      </c>
      <c r="U22">
        <f t="shared" si="7"/>
        <v>-0.01</v>
      </c>
      <c r="V22">
        <f t="shared" si="8"/>
        <v>6.6666666666666664E-4</v>
      </c>
      <c r="W22" t="str">
        <f t="shared" si="9"/>
        <v>0-0.05</v>
      </c>
    </row>
    <row r="23" spans="1:23">
      <c r="A23" t="s">
        <v>121</v>
      </c>
      <c r="B23" t="s">
        <v>121</v>
      </c>
      <c r="C23" s="6">
        <v>5.1965999999999998E-2</v>
      </c>
      <c r="D23">
        <v>1.1000000000000001E-3</v>
      </c>
      <c r="E23" t="s">
        <v>1090</v>
      </c>
      <c r="F23">
        <v>68780736</v>
      </c>
      <c r="G23" t="s">
        <v>125</v>
      </c>
      <c r="H23">
        <v>905700000000000</v>
      </c>
      <c r="I23">
        <v>1780000000</v>
      </c>
      <c r="J23">
        <f>Cleaned_data[[#This Row],[Volume (24h) USD]]/Cleaned_data[[#This Row],[Circulating_Supply($)]]</f>
        <v>7.5942073534282872E-8</v>
      </c>
      <c r="K23">
        <f>RANK(Cleaned_data[[#This Row],[  Market Cap]],Cleaned_data[ [  Market Cap] ],0)</f>
        <v>11</v>
      </c>
      <c r="L23" t="str">
        <f t="shared" si="10"/>
        <v>0-0.5</v>
      </c>
      <c r="M23">
        <f t="shared" si="11"/>
        <v>5.1965999999999998E-2</v>
      </c>
      <c r="N23" t="str">
        <f t="shared" si="0"/>
        <v>Hide</v>
      </c>
      <c r="O23" t="str">
        <f t="shared" si="1"/>
        <v>0-50</v>
      </c>
      <c r="P23">
        <f t="shared" si="2"/>
        <v>5.1908900209769245E-2</v>
      </c>
      <c r="Q23" t="str">
        <f t="shared" si="3"/>
        <v>Up to $10</v>
      </c>
      <c r="R23">
        <f t="shared" si="4"/>
        <v>5.1451485148514851E-2</v>
      </c>
      <c r="S23">
        <f t="shared" si="5"/>
        <v>7.7000000000000002E-3</v>
      </c>
      <c r="T23">
        <f t="shared" si="6"/>
        <v>5.156891932122655E-2</v>
      </c>
      <c r="U23">
        <f t="shared" si="7"/>
        <v>-0.01</v>
      </c>
      <c r="V23">
        <f t="shared" si="8"/>
        <v>3.9999999999999991E-4</v>
      </c>
      <c r="W23" t="str">
        <f t="shared" si="9"/>
        <v>0.05-0.5</v>
      </c>
    </row>
    <row r="24" spans="1:23">
      <c r="A24" t="s">
        <v>126</v>
      </c>
      <c r="B24" t="s">
        <v>127</v>
      </c>
      <c r="C24" s="6">
        <v>0.99750000000000005</v>
      </c>
      <c r="D24">
        <v>1E-4</v>
      </c>
      <c r="E24" t="s">
        <v>130</v>
      </c>
      <c r="F24">
        <v>290443</v>
      </c>
      <c r="G24" t="s">
        <v>130</v>
      </c>
      <c r="H24">
        <v>1620000000</v>
      </c>
      <c r="I24">
        <v>1620000000</v>
      </c>
      <c r="J24">
        <f>Cleaned_data[[#This Row],[Volume (24h) USD]]/Cleaned_data[[#This Row],[Circulating_Supply($)]]</f>
        <v>1.7928580246913579E-4</v>
      </c>
      <c r="K24">
        <f>RANK(Cleaned_data[[#This Row],[  Market Cap]],Cleaned_data[ [  Market Cap] ],0)</f>
        <v>12</v>
      </c>
      <c r="L24" t="str">
        <f t="shared" si="10"/>
        <v>0.5-1</v>
      </c>
      <c r="M24">
        <f t="shared" si="11"/>
        <v>0.99750000000000005</v>
      </c>
      <c r="N24" t="str">
        <f t="shared" si="0"/>
        <v>Hide</v>
      </c>
      <c r="O24" t="str">
        <f t="shared" si="1"/>
        <v>0-50</v>
      </c>
      <c r="P24">
        <f t="shared" si="2"/>
        <v>0.99740025997400261</v>
      </c>
      <c r="Q24" t="str">
        <f t="shared" si="3"/>
        <v>Up to $10</v>
      </c>
      <c r="R24">
        <f t="shared" si="4"/>
        <v>0.98762376237623761</v>
      </c>
      <c r="S24">
        <f t="shared" si="5"/>
        <v>6.9999999999999999E-4</v>
      </c>
      <c r="T24">
        <f t="shared" si="6"/>
        <v>0.99680223843309701</v>
      </c>
      <c r="U24">
        <f t="shared" si="7"/>
        <v>-0.01</v>
      </c>
      <c r="V24">
        <f t="shared" si="8"/>
        <v>3.0666666666666672E-3</v>
      </c>
      <c r="W24" t="str">
        <f t="shared" si="9"/>
        <v>0.5-5</v>
      </c>
    </row>
    <row r="25" spans="1:23">
      <c r="A25" t="s">
        <v>131</v>
      </c>
      <c r="B25" t="s">
        <v>131</v>
      </c>
      <c r="C25" s="6">
        <v>5.08</v>
      </c>
      <c r="D25">
        <v>3.0999999999999999E-3</v>
      </c>
      <c r="E25" t="s">
        <v>1091</v>
      </c>
      <c r="F25">
        <v>58814485</v>
      </c>
      <c r="G25" t="s">
        <v>135</v>
      </c>
      <c r="H25">
        <v>309950000</v>
      </c>
      <c r="I25">
        <v>1580000000</v>
      </c>
      <c r="J25">
        <f>Cleaned_data[[#This Row],[Volume (24h) USD]]/Cleaned_data[[#This Row],[Circulating_Supply($)]]</f>
        <v>0.18975475076625262</v>
      </c>
      <c r="K25">
        <f>RANK(Cleaned_data[[#This Row],[  Market Cap]],Cleaned_data[ [  Market Cap] ],0)</f>
        <v>13</v>
      </c>
      <c r="L25" t="str">
        <f t="shared" si="10"/>
        <v>2-10</v>
      </c>
      <c r="M25">
        <f t="shared" si="11"/>
        <v>5.08</v>
      </c>
      <c r="N25" t="str">
        <f t="shared" si="0"/>
        <v>Hide</v>
      </c>
      <c r="O25" t="str">
        <f t="shared" si="1"/>
        <v>0-50</v>
      </c>
      <c r="P25">
        <f t="shared" si="2"/>
        <v>5.0643006679294187</v>
      </c>
      <c r="Q25" t="str">
        <f t="shared" si="3"/>
        <v>Up to $10</v>
      </c>
      <c r="R25">
        <f t="shared" si="4"/>
        <v>5.0297029702970297</v>
      </c>
      <c r="S25">
        <f t="shared" si="5"/>
        <v>2.1700000000000001E-2</v>
      </c>
      <c r="T25">
        <f t="shared" si="6"/>
        <v>4.9721053146716256</v>
      </c>
      <c r="U25">
        <f t="shared" si="7"/>
        <v>-0.01</v>
      </c>
      <c r="V25">
        <f t="shared" si="8"/>
        <v>4.9333333333333338E-3</v>
      </c>
      <c r="W25" t="str">
        <f t="shared" si="9"/>
        <v>5-50</v>
      </c>
    </row>
    <row r="26" spans="1:23">
      <c r="A26" t="s">
        <v>136</v>
      </c>
      <c r="B26" t="s">
        <v>137</v>
      </c>
      <c r="C26" s="6">
        <v>1.1299999999999999</v>
      </c>
      <c r="D26">
        <v>1E-4</v>
      </c>
      <c r="E26" t="s">
        <v>1092</v>
      </c>
      <c r="F26">
        <v>45186</v>
      </c>
      <c r="G26" t="s">
        <v>140</v>
      </c>
      <c r="H26">
        <v>1170000000</v>
      </c>
      <c r="I26">
        <v>1330000000</v>
      </c>
      <c r="J26">
        <f>Cleaned_data[[#This Row],[Volume (24h) USD]]/Cleaned_data[[#This Row],[Circulating_Supply($)]]</f>
        <v>3.862051282051282E-5</v>
      </c>
      <c r="K26">
        <f>RANK(Cleaned_data[[#This Row],[  Market Cap]],Cleaned_data[ [  Market Cap] ],0)</f>
        <v>14</v>
      </c>
      <c r="L26" t="str">
        <f t="shared" si="10"/>
        <v>1-2</v>
      </c>
      <c r="M26">
        <f t="shared" si="11"/>
        <v>1.1299999999999999</v>
      </c>
      <c r="N26" t="str">
        <f t="shared" si="0"/>
        <v>Show</v>
      </c>
      <c r="O26" t="str">
        <f t="shared" si="1"/>
        <v>0-50</v>
      </c>
      <c r="P26">
        <f t="shared" si="2"/>
        <v>1.1298870112988699</v>
      </c>
      <c r="Q26" t="str">
        <f t="shared" si="3"/>
        <v>Up to $10</v>
      </c>
      <c r="R26">
        <f t="shared" si="4"/>
        <v>1.1188118811881187</v>
      </c>
      <c r="S26">
        <f t="shared" si="5"/>
        <v>6.9999999999999999E-4</v>
      </c>
      <c r="T26">
        <f t="shared" si="6"/>
        <v>1.1292095533126811</v>
      </c>
      <c r="U26">
        <f t="shared" si="7"/>
        <v>-0.01</v>
      </c>
      <c r="V26">
        <f t="shared" si="8"/>
        <v>3.0666666666666672E-3</v>
      </c>
      <c r="W26" t="str">
        <f t="shared" si="9"/>
        <v>0.5-5</v>
      </c>
    </row>
    <row r="27" spans="1:23">
      <c r="A27" t="s">
        <v>141</v>
      </c>
      <c r="B27" t="s">
        <v>142</v>
      </c>
      <c r="C27" s="6">
        <v>0.21990000000000001</v>
      </c>
      <c r="D27">
        <v>2.8999999999999998E-3</v>
      </c>
      <c r="E27" t="s">
        <v>1093</v>
      </c>
      <c r="F27">
        <v>3620098</v>
      </c>
      <c r="G27" t="s">
        <v>146</v>
      </c>
      <c r="H27">
        <v>4450000000</v>
      </c>
      <c r="I27">
        <v>980690000</v>
      </c>
      <c r="J27">
        <f>Cleaned_data[[#This Row],[Volume (24h) USD]]/Cleaned_data[[#This Row],[Circulating_Supply($)]]</f>
        <v>8.1350516853932579E-4</v>
      </c>
      <c r="K27">
        <f>RANK(Cleaned_data[[#This Row],[  Market Cap]],Cleaned_data[ [  Market Cap] ],0)</f>
        <v>15</v>
      </c>
      <c r="L27" t="str">
        <f t="shared" si="10"/>
        <v>0-0.5</v>
      </c>
      <c r="M27">
        <f t="shared" si="11"/>
        <v>0.21990000000000001</v>
      </c>
      <c r="N27" t="str">
        <f t="shared" si="0"/>
        <v>Show</v>
      </c>
      <c r="O27" t="str">
        <f t="shared" si="1"/>
        <v>0-50</v>
      </c>
      <c r="P27">
        <f t="shared" si="2"/>
        <v>0.21926413401136707</v>
      </c>
      <c r="Q27" t="str">
        <f t="shared" si="3"/>
        <v>Up to $10</v>
      </c>
      <c r="R27">
        <f t="shared" si="4"/>
        <v>0.21772277227722772</v>
      </c>
      <c r="S27">
        <f t="shared" si="5"/>
        <v>2.0299999999999999E-2</v>
      </c>
      <c r="T27">
        <f t="shared" si="6"/>
        <v>0.21552484563363719</v>
      </c>
      <c r="U27">
        <f t="shared" si="7"/>
        <v>-0.01</v>
      </c>
      <c r="V27">
        <f t="shared" si="8"/>
        <v>4.3999999999999994E-3</v>
      </c>
      <c r="W27" t="str">
        <f t="shared" si="9"/>
        <v>0.05-0.5</v>
      </c>
    </row>
    <row r="28" spans="1:23">
      <c r="A28" t="s">
        <v>147</v>
      </c>
      <c r="B28" t="s">
        <v>148</v>
      </c>
      <c r="C28" s="6">
        <v>4.1100000000000003</v>
      </c>
      <c r="D28">
        <v>1.2999999999999999E-3</v>
      </c>
      <c r="E28" t="s">
        <v>1094</v>
      </c>
      <c r="F28">
        <v>4438616</v>
      </c>
      <c r="G28" t="s">
        <v>152</v>
      </c>
      <c r="H28">
        <v>236190000</v>
      </c>
      <c r="I28">
        <v>972120000</v>
      </c>
      <c r="J28">
        <f>Cleaned_data[[#This Row],[Volume (24h) USD]]/Cleaned_data[[#This Row],[Circulating_Supply($)]]</f>
        <v>1.8792565307591345E-2</v>
      </c>
      <c r="K28">
        <f>RANK(Cleaned_data[[#This Row],[  Market Cap]],Cleaned_data[ [  Market Cap] ],0)</f>
        <v>16</v>
      </c>
      <c r="L28" t="str">
        <f t="shared" si="10"/>
        <v>2-10</v>
      </c>
      <c r="M28">
        <f t="shared" si="11"/>
        <v>4.1100000000000003</v>
      </c>
      <c r="N28" t="str">
        <f t="shared" si="0"/>
        <v>Hide</v>
      </c>
      <c r="O28" t="str">
        <f t="shared" si="1"/>
        <v>0-50</v>
      </c>
      <c r="P28">
        <f t="shared" si="2"/>
        <v>4.1046639368820532</v>
      </c>
      <c r="Q28" t="str">
        <f t="shared" si="3"/>
        <v>Up to $10</v>
      </c>
      <c r="R28">
        <f t="shared" si="4"/>
        <v>4.0693069306930694</v>
      </c>
      <c r="S28">
        <f t="shared" si="5"/>
        <v>9.1000000000000004E-3</v>
      </c>
      <c r="T28">
        <f t="shared" si="6"/>
        <v>4.0729362798533346</v>
      </c>
      <c r="U28">
        <f t="shared" si="7"/>
        <v>-0.01</v>
      </c>
      <c r="V28">
        <f t="shared" si="8"/>
        <v>1.3333333333333369E-4</v>
      </c>
      <c r="W28" t="str">
        <f t="shared" si="9"/>
        <v>0.5-5</v>
      </c>
    </row>
    <row r="29" spans="1:23">
      <c r="A29" t="s">
        <v>153</v>
      </c>
      <c r="B29" t="s">
        <v>154</v>
      </c>
      <c r="C29" s="6">
        <v>7.961E-2</v>
      </c>
      <c r="D29">
        <v>8.9999999999999998E-4</v>
      </c>
      <c r="E29" t="s">
        <v>1095</v>
      </c>
      <c r="F29">
        <v>16767802</v>
      </c>
      <c r="G29" t="s">
        <v>157</v>
      </c>
      <c r="H29">
        <v>7730000000</v>
      </c>
      <c r="I29">
        <v>616030000</v>
      </c>
      <c r="J29">
        <f>Cleaned_data[[#This Row],[Volume (24h) USD]]/Cleaned_data[[#This Row],[Circulating_Supply($)]]</f>
        <v>2.1691852522639069E-3</v>
      </c>
      <c r="K29">
        <f>RANK(Cleaned_data[[#This Row],[  Market Cap]],Cleaned_data[ [  Market Cap] ],0)</f>
        <v>17</v>
      </c>
      <c r="L29" t="str">
        <f t="shared" si="10"/>
        <v>0-0.5</v>
      </c>
      <c r="M29">
        <f t="shared" si="11"/>
        <v>7.961E-2</v>
      </c>
      <c r="N29" t="str">
        <f t="shared" si="0"/>
        <v>Show</v>
      </c>
      <c r="O29" t="str">
        <f t="shared" si="1"/>
        <v>0-50</v>
      </c>
      <c r="P29">
        <f t="shared" si="2"/>
        <v>7.9538415426116504E-2</v>
      </c>
      <c r="Q29" t="str">
        <f t="shared" si="3"/>
        <v>Up to $10</v>
      </c>
      <c r="R29">
        <f t="shared" si="4"/>
        <v>7.8821782178217822E-2</v>
      </c>
      <c r="S29">
        <f t="shared" si="5"/>
        <v>6.3E-3</v>
      </c>
      <c r="T29">
        <f t="shared" si="6"/>
        <v>7.9111596939282519E-2</v>
      </c>
      <c r="U29">
        <f t="shared" si="7"/>
        <v>-0.01</v>
      </c>
      <c r="V29">
        <f t="shared" si="8"/>
        <v>9.3333333333333343E-4</v>
      </c>
      <c r="W29" t="str">
        <f t="shared" si="9"/>
        <v>0.05-0.5</v>
      </c>
    </row>
    <row r="30" spans="1:23">
      <c r="A30" t="s">
        <v>158</v>
      </c>
      <c r="B30" t="s">
        <v>158</v>
      </c>
      <c r="C30" s="6">
        <v>0.99950000000000006</v>
      </c>
      <c r="D30">
        <v>0</v>
      </c>
      <c r="E30" t="s">
        <v>1096</v>
      </c>
      <c r="F30">
        <v>401865</v>
      </c>
      <c r="G30" t="s">
        <v>161</v>
      </c>
      <c r="H30">
        <v>584000000</v>
      </c>
      <c r="I30">
        <v>583760000</v>
      </c>
      <c r="J30">
        <f>Cleaned_data[[#This Row],[Volume (24h) USD]]/Cleaned_data[[#This Row],[Circulating_Supply($)]]</f>
        <v>6.8812500000000004E-4</v>
      </c>
      <c r="K30">
        <f>RANK(Cleaned_data[[#This Row],[  Market Cap]],Cleaned_data[ [  Market Cap] ],0)</f>
        <v>18</v>
      </c>
      <c r="L30" t="str">
        <f t="shared" si="10"/>
        <v>0.5-1</v>
      </c>
      <c r="M30">
        <f t="shared" si="11"/>
        <v>0.99950000000000006</v>
      </c>
      <c r="N30" t="str">
        <f t="shared" si="0"/>
        <v>Hide</v>
      </c>
      <c r="O30" t="str">
        <f t="shared" si="1"/>
        <v>0-50</v>
      </c>
      <c r="P30">
        <f t="shared" si="2"/>
        <v>0.99950000000000006</v>
      </c>
      <c r="Q30" t="str">
        <f t="shared" si="3"/>
        <v>Up to $10</v>
      </c>
      <c r="R30">
        <f t="shared" si="4"/>
        <v>0.98960396039603959</v>
      </c>
      <c r="S30">
        <f t="shared" si="5"/>
        <v>0</v>
      </c>
      <c r="T30">
        <f t="shared" si="6"/>
        <v>0.99950000000000006</v>
      </c>
      <c r="U30">
        <f t="shared" si="7"/>
        <v>-0.01</v>
      </c>
      <c r="V30">
        <f t="shared" si="8"/>
        <v>3.3333333333333335E-3</v>
      </c>
      <c r="W30" t="str">
        <f t="shared" si="9"/>
        <v>0.5-5</v>
      </c>
    </row>
    <row r="31" spans="1:23">
      <c r="A31" t="s">
        <v>162</v>
      </c>
      <c r="B31" t="s">
        <v>163</v>
      </c>
      <c r="C31" s="6">
        <v>0.998</v>
      </c>
      <c r="D31">
        <v>1E-4</v>
      </c>
      <c r="E31" t="s">
        <v>1097</v>
      </c>
      <c r="F31">
        <v>87559</v>
      </c>
      <c r="G31" t="s">
        <v>166</v>
      </c>
      <c r="H31">
        <v>566510000</v>
      </c>
      <c r="I31">
        <v>565410000</v>
      </c>
      <c r="J31">
        <f>Cleaned_data[[#This Row],[Volume (24h) USD]]/Cleaned_data[[#This Row],[Circulating_Supply($)]]</f>
        <v>1.5455861326366701E-4</v>
      </c>
      <c r="K31">
        <f>RANK(Cleaned_data[[#This Row],[  Market Cap]],Cleaned_data[ [  Market Cap] ],0)</f>
        <v>19</v>
      </c>
      <c r="L31" t="str">
        <f t="shared" si="10"/>
        <v>0.5-1</v>
      </c>
      <c r="M31">
        <f t="shared" si="11"/>
        <v>0.998</v>
      </c>
      <c r="N31" t="str">
        <f t="shared" si="0"/>
        <v>Show</v>
      </c>
      <c r="O31" t="str">
        <f t="shared" si="1"/>
        <v>0-50</v>
      </c>
      <c r="P31">
        <f t="shared" si="2"/>
        <v>0.99790020997900208</v>
      </c>
      <c r="Q31" t="str">
        <f t="shared" si="3"/>
        <v>Up to $10</v>
      </c>
      <c r="R31">
        <f t="shared" si="4"/>
        <v>0.98811881188118811</v>
      </c>
      <c r="S31">
        <f t="shared" si="5"/>
        <v>6.9999999999999999E-4</v>
      </c>
      <c r="T31">
        <f t="shared" si="6"/>
        <v>0.99730188867792557</v>
      </c>
      <c r="U31">
        <f t="shared" si="7"/>
        <v>-0.01</v>
      </c>
      <c r="V31">
        <f t="shared" si="8"/>
        <v>3.0666666666666672E-3</v>
      </c>
      <c r="W31" t="str">
        <f t="shared" si="9"/>
        <v>0.5-5</v>
      </c>
    </row>
    <row r="32" spans="1:23">
      <c r="A32" t="s">
        <v>167</v>
      </c>
      <c r="B32" t="s">
        <v>168</v>
      </c>
      <c r="C32" s="6">
        <v>1.952E-4</v>
      </c>
      <c r="D32">
        <v>4.1999999999999997E-3</v>
      </c>
      <c r="E32" t="s">
        <v>1098</v>
      </c>
      <c r="F32">
        <v>15492616</v>
      </c>
      <c r="G32" t="s">
        <v>172</v>
      </c>
      <c r="H32">
        <v>420660000000</v>
      </c>
      <c r="I32">
        <v>82140000</v>
      </c>
      <c r="J32">
        <f>Cleaned_data[[#This Row],[Volume (24h) USD]]/Cleaned_data[[#This Row],[Circulating_Supply($)]]</f>
        <v>3.6829306328150999E-5</v>
      </c>
      <c r="K32">
        <f>RANK(Cleaned_data[[#This Row],[  Market Cap]],Cleaned_data[ [  Market Cap] ],0)</f>
        <v>30</v>
      </c>
      <c r="L32" t="str">
        <f t="shared" si="10"/>
        <v>0-0.5</v>
      </c>
      <c r="M32">
        <f t="shared" si="11"/>
        <v>1.952E-4</v>
      </c>
      <c r="N32" t="str">
        <f t="shared" si="0"/>
        <v>Hide</v>
      </c>
      <c r="O32" t="str">
        <f t="shared" si="1"/>
        <v>0-50</v>
      </c>
      <c r="P32">
        <f t="shared" si="2"/>
        <v>1.9438358892650867E-4</v>
      </c>
      <c r="Q32" t="str">
        <f t="shared" si="3"/>
        <v>Up to $10</v>
      </c>
      <c r="R32">
        <f t="shared" si="4"/>
        <v>1.9326732673267326E-4</v>
      </c>
      <c r="S32">
        <f t="shared" si="5"/>
        <v>2.9399999999999999E-2</v>
      </c>
      <c r="T32">
        <f t="shared" si="6"/>
        <v>1.8962502428599183E-4</v>
      </c>
      <c r="U32">
        <f t="shared" si="7"/>
        <v>-0.01</v>
      </c>
      <c r="V32">
        <f t="shared" si="8"/>
        <v>7.8666666666666659E-3</v>
      </c>
      <c r="W32" t="str">
        <f t="shared" si="9"/>
        <v>0-0.05</v>
      </c>
    </row>
    <row r="33" spans="1:23">
      <c r="A33" t="s">
        <v>173</v>
      </c>
      <c r="B33" t="s">
        <v>174</v>
      </c>
      <c r="C33" s="6">
        <v>9.3790000000000002E-3</v>
      </c>
      <c r="D33">
        <v>6.0000000000000001E-3</v>
      </c>
      <c r="E33" t="s">
        <v>1099</v>
      </c>
      <c r="F33">
        <v>2642773</v>
      </c>
      <c r="G33" t="s">
        <v>178</v>
      </c>
      <c r="H33">
        <v>8680000000</v>
      </c>
      <c r="I33">
        <v>81480000</v>
      </c>
      <c r="J33">
        <f>Cleaned_data[[#This Row],[Volume (24h) USD]]/Cleaned_data[[#This Row],[Circulating_Supply($)]]</f>
        <v>3.0446693548387096E-4</v>
      </c>
      <c r="K33">
        <f>RANK(Cleaned_data[[#This Row],[  Market Cap]],Cleaned_data[ [  Market Cap] ],0)</f>
        <v>31</v>
      </c>
      <c r="L33" t="str">
        <f t="shared" si="10"/>
        <v>0-0.5</v>
      </c>
      <c r="M33">
        <f t="shared" si="11"/>
        <v>9.3790000000000002E-3</v>
      </c>
      <c r="N33" t="str">
        <f t="shared" si="0"/>
        <v>Show</v>
      </c>
      <c r="O33" t="str">
        <f t="shared" si="1"/>
        <v>0-50</v>
      </c>
      <c r="P33">
        <f t="shared" si="2"/>
        <v>9.3230616302186885E-3</v>
      </c>
      <c r="Q33" t="str">
        <f t="shared" si="3"/>
        <v>Up to $10</v>
      </c>
      <c r="R33">
        <f t="shared" si="4"/>
        <v>9.2861386138613864E-3</v>
      </c>
      <c r="S33">
        <f t="shared" si="5"/>
        <v>4.2000000000000003E-2</v>
      </c>
      <c r="T33">
        <f t="shared" si="6"/>
        <v>9.0009596928982728E-3</v>
      </c>
      <c r="U33">
        <f t="shared" si="7"/>
        <v>-0.01</v>
      </c>
      <c r="V33">
        <f t="shared" si="8"/>
        <v>1.2666666666666668E-2</v>
      </c>
      <c r="W33" t="str">
        <f t="shared" si="9"/>
        <v>0-0.05</v>
      </c>
    </row>
    <row r="34" spans="1:23">
      <c r="A34" t="s">
        <v>179</v>
      </c>
      <c r="B34" t="s">
        <v>180</v>
      </c>
      <c r="C34" s="6">
        <v>2.8089999999999999E-3</v>
      </c>
      <c r="D34">
        <v>2.0999999999999999E-3</v>
      </c>
      <c r="E34" t="s">
        <v>1100</v>
      </c>
      <c r="F34">
        <v>1922336</v>
      </c>
      <c r="G34" t="s">
        <v>184</v>
      </c>
      <c r="H34">
        <v>28980000000</v>
      </c>
      <c r="I34">
        <v>81440000</v>
      </c>
      <c r="J34">
        <f>Cleaned_data[[#This Row],[Volume (24h) USD]]/Cleaned_data[[#This Row],[Circulating_Supply($)]]</f>
        <v>6.6333195307108353E-5</v>
      </c>
      <c r="K34">
        <f>RANK(Cleaned_data[[#This Row],[  Market Cap]],Cleaned_data[ [  Market Cap] ],0)</f>
        <v>32</v>
      </c>
      <c r="L34" t="str">
        <f t="shared" si="10"/>
        <v>0-0.5</v>
      </c>
      <c r="M34">
        <f t="shared" ref="M34:M65" si="12">VALUE(C34)</f>
        <v>2.8089999999999999E-3</v>
      </c>
      <c r="N34" t="str">
        <f t="shared" ref="N34:N65" si="13">IF(OR(LEFT(A34,1)="A",LEFT(A34,1)="E",LEFT(A34,1)="I",LEFT(A34,1)="O",LEFT(A34,1)="U",LEFT(A34,1)="B",LEFT(A34,1)="C",LEFT(A34,1)="D"),"Show","Hide")</f>
        <v>Hide</v>
      </c>
      <c r="O34" t="str">
        <f t="shared" ref="O34:O65" si="14">IF(C34&lt;=50,"0-50","Above 50")</f>
        <v>0-50</v>
      </c>
      <c r="P34">
        <f t="shared" ref="P34:P65" si="15">C34/(1+D34)</f>
        <v>2.8031134617303661E-3</v>
      </c>
      <c r="Q34" t="str">
        <f t="shared" ref="Q34:Q65" si="16">IF(M34&lt;10,"Up to $10","&gt;= $10")</f>
        <v>Up to $10</v>
      </c>
      <c r="R34">
        <f t="shared" ref="R34:R65" si="17">M34/(1-U34)</f>
        <v>2.7811881188118809E-3</v>
      </c>
      <c r="S34">
        <f t="shared" ref="S34:S65" si="18">D34*7</f>
        <v>1.47E-2</v>
      </c>
      <c r="T34">
        <f t="shared" ref="T34:T65" si="19" xml:space="preserve"> M34/(1+S34)</f>
        <v>2.7683059032226273E-3</v>
      </c>
      <c r="U34">
        <f t="shared" si="7"/>
        <v>-0.01</v>
      </c>
      <c r="V34">
        <f t="shared" ref="V34:V65" si="20">ABS(AVERAGE(D34,U34,S34))</f>
        <v>2.2666666666666664E-3</v>
      </c>
      <c r="W34" t="str">
        <f t="shared" ref="W34:W65" si="21">IF(M34&lt;=0.05,"0-0.05",
IF(M34&lt;=0.5,"0.05-0.5",
IF(M34&lt;=5,"0.5-5",
IF(M34&lt;=50,"5-50",
"&gt;$50"))))</f>
        <v>0-0.05</v>
      </c>
    </row>
    <row r="35" spans="1:23">
      <c r="A35" t="s">
        <v>185</v>
      </c>
      <c r="B35" t="s">
        <v>185</v>
      </c>
      <c r="C35" s="6">
        <v>7.8</v>
      </c>
      <c r="D35">
        <v>6.9999999999999999E-4</v>
      </c>
      <c r="E35" t="s">
        <v>1101</v>
      </c>
      <c r="F35">
        <v>4855720</v>
      </c>
      <c r="G35" t="s">
        <v>188</v>
      </c>
      <c r="H35">
        <v>10390000</v>
      </c>
      <c r="I35">
        <v>81190000</v>
      </c>
      <c r="J35">
        <f>Cleaned_data[[#This Row],[Volume (24h) USD]]/Cleaned_data[[#This Row],[Circulating_Supply($)]]</f>
        <v>0.46734552454282963</v>
      </c>
      <c r="K35">
        <f>RANK(Cleaned_data[[#This Row],[  Market Cap]],Cleaned_data[ [  Market Cap] ],0)</f>
        <v>33</v>
      </c>
      <c r="L35" t="str">
        <f t="shared" si="10"/>
        <v>2-10</v>
      </c>
      <c r="M35">
        <f t="shared" si="12"/>
        <v>7.8</v>
      </c>
      <c r="N35" t="str">
        <f t="shared" si="13"/>
        <v>Hide</v>
      </c>
      <c r="O35" t="str">
        <f t="shared" si="14"/>
        <v>0-50</v>
      </c>
      <c r="P35">
        <f t="shared" si="15"/>
        <v>7.7945438193264716</v>
      </c>
      <c r="Q35" t="str">
        <f t="shared" si="16"/>
        <v>Up to $10</v>
      </c>
      <c r="R35">
        <f t="shared" si="17"/>
        <v>7.7227722772277225</v>
      </c>
      <c r="S35">
        <f t="shared" si="18"/>
        <v>4.8999999999999998E-3</v>
      </c>
      <c r="T35">
        <f t="shared" si="19"/>
        <v>7.7619663648124195</v>
      </c>
      <c r="U35">
        <f t="shared" si="7"/>
        <v>-0.01</v>
      </c>
      <c r="V35">
        <f t="shared" si="20"/>
        <v>1.4666666666666671E-3</v>
      </c>
      <c r="W35" t="str">
        <f t="shared" si="21"/>
        <v>5-50</v>
      </c>
    </row>
    <row r="36" spans="1:23">
      <c r="A36" t="s">
        <v>189</v>
      </c>
      <c r="B36" t="s">
        <v>190</v>
      </c>
      <c r="C36" s="6">
        <v>1.65E-3</v>
      </c>
      <c r="D36">
        <v>7.3000000000000001E-3</v>
      </c>
      <c r="E36" t="s">
        <v>1102</v>
      </c>
      <c r="F36">
        <v>5028571</v>
      </c>
      <c r="G36" t="s">
        <v>194</v>
      </c>
      <c r="H36">
        <v>48730000000</v>
      </c>
      <c r="I36">
        <v>80450000</v>
      </c>
      <c r="J36">
        <f>Cleaned_data[[#This Row],[Volume (24h) USD]]/Cleaned_data[[#This Row],[Circulating_Supply($)]]</f>
        <v>1.0319250974758875E-4</v>
      </c>
      <c r="K36">
        <f>RANK(Cleaned_data[[#This Row],[  Market Cap]],Cleaned_data[ [  Market Cap] ],0)</f>
        <v>34</v>
      </c>
      <c r="L36" t="str">
        <f t="shared" si="10"/>
        <v>0-0.5</v>
      </c>
      <c r="M36">
        <f t="shared" si="12"/>
        <v>1.65E-3</v>
      </c>
      <c r="N36" t="str">
        <f t="shared" si="13"/>
        <v>Hide</v>
      </c>
      <c r="O36" t="str">
        <f t="shared" si="14"/>
        <v>0-50</v>
      </c>
      <c r="P36">
        <f t="shared" si="15"/>
        <v>1.6380422912737019E-3</v>
      </c>
      <c r="Q36" t="str">
        <f t="shared" si="16"/>
        <v>Up to $10</v>
      </c>
      <c r="R36">
        <f t="shared" si="17"/>
        <v>1.6336633663366336E-3</v>
      </c>
      <c r="S36">
        <f t="shared" si="18"/>
        <v>5.11E-2</v>
      </c>
      <c r="T36">
        <f t="shared" si="19"/>
        <v>1.5697840357720484E-3</v>
      </c>
      <c r="U36">
        <f t="shared" si="7"/>
        <v>-0.01</v>
      </c>
      <c r="V36">
        <f t="shared" si="20"/>
        <v>1.6133333333333333E-2</v>
      </c>
      <c r="W36" t="str">
        <f t="shared" si="21"/>
        <v>0-0.05</v>
      </c>
    </row>
    <row r="37" spans="1:23">
      <c r="A37" t="s">
        <v>195</v>
      </c>
      <c r="B37" t="s">
        <v>196</v>
      </c>
      <c r="C37" s="6">
        <v>3.7060000000000003E-2</v>
      </c>
      <c r="D37">
        <v>1.7500000000000002E-2</v>
      </c>
      <c r="E37" t="s">
        <v>1103</v>
      </c>
      <c r="F37">
        <v>15872071</v>
      </c>
      <c r="G37" t="s">
        <v>200</v>
      </c>
      <c r="H37">
        <v>2150000000</v>
      </c>
      <c r="I37">
        <v>79960000</v>
      </c>
      <c r="J37">
        <f>Cleaned_data[[#This Row],[Volume (24h) USD]]/Cleaned_data[[#This Row],[Circulating_Supply($)]]</f>
        <v>7.3823586046511628E-3</v>
      </c>
      <c r="K37">
        <f>RANK(Cleaned_data[[#This Row],[  Market Cap]],Cleaned_data[ [  Market Cap] ],0)</f>
        <v>35</v>
      </c>
      <c r="L37" t="str">
        <f t="shared" si="10"/>
        <v>0-0.5</v>
      </c>
      <c r="M37">
        <f t="shared" si="12"/>
        <v>3.7060000000000003E-2</v>
      </c>
      <c r="N37" t="str">
        <f t="shared" si="13"/>
        <v>Hide</v>
      </c>
      <c r="O37" t="str">
        <f t="shared" si="14"/>
        <v>0-50</v>
      </c>
      <c r="P37">
        <f t="shared" si="15"/>
        <v>3.6422604422604421E-2</v>
      </c>
      <c r="Q37" t="str">
        <f t="shared" si="16"/>
        <v>Up to $10</v>
      </c>
      <c r="R37">
        <f t="shared" si="17"/>
        <v>3.6693069306930698E-2</v>
      </c>
      <c r="S37">
        <f t="shared" si="18"/>
        <v>0.12250000000000001</v>
      </c>
      <c r="T37">
        <f t="shared" si="19"/>
        <v>3.3015590200445435E-2</v>
      </c>
      <c r="U37">
        <f t="shared" si="7"/>
        <v>-0.01</v>
      </c>
      <c r="V37">
        <f t="shared" si="20"/>
        <v>4.3333333333333335E-2</v>
      </c>
      <c r="W37" t="str">
        <f t="shared" si="21"/>
        <v>0-0.05</v>
      </c>
    </row>
    <row r="38" spans="1:23">
      <c r="A38" t="s">
        <v>201</v>
      </c>
      <c r="B38" t="s">
        <v>202</v>
      </c>
      <c r="C38" s="6">
        <v>0.26800000000000002</v>
      </c>
      <c r="D38">
        <v>5.0000000000000001E-3</v>
      </c>
      <c r="E38" t="s">
        <v>1104</v>
      </c>
      <c r="F38">
        <v>12593650</v>
      </c>
      <c r="G38" t="s">
        <v>206</v>
      </c>
      <c r="H38">
        <v>297460000</v>
      </c>
      <c r="I38">
        <v>79740000</v>
      </c>
      <c r="J38">
        <f>Cleaned_data[[#This Row],[Volume (24h) USD]]/Cleaned_data[[#This Row],[Circulating_Supply($)]]</f>
        <v>4.2337289047266857E-2</v>
      </c>
      <c r="K38">
        <f>RANK(Cleaned_data[[#This Row],[  Market Cap]],Cleaned_data[ [  Market Cap] ],0)</f>
        <v>36</v>
      </c>
      <c r="L38" t="str">
        <f t="shared" si="10"/>
        <v>0-0.5</v>
      </c>
      <c r="M38">
        <f t="shared" si="12"/>
        <v>0.26800000000000002</v>
      </c>
      <c r="N38" t="str">
        <f t="shared" si="13"/>
        <v>Hide</v>
      </c>
      <c r="O38" t="str">
        <f t="shared" si="14"/>
        <v>0-50</v>
      </c>
      <c r="P38">
        <f t="shared" si="15"/>
        <v>0.26666666666666672</v>
      </c>
      <c r="Q38" t="str">
        <f t="shared" si="16"/>
        <v>Up to $10</v>
      </c>
      <c r="R38">
        <f t="shared" si="17"/>
        <v>0.26534653465346536</v>
      </c>
      <c r="S38">
        <f t="shared" si="18"/>
        <v>3.5000000000000003E-2</v>
      </c>
      <c r="T38">
        <f t="shared" si="19"/>
        <v>0.25893719806763288</v>
      </c>
      <c r="U38">
        <f t="shared" si="7"/>
        <v>-0.01</v>
      </c>
      <c r="V38">
        <f t="shared" si="20"/>
        <v>0.01</v>
      </c>
      <c r="W38" t="str">
        <f t="shared" si="21"/>
        <v>0.05-0.5</v>
      </c>
    </row>
    <row r="39" spans="1:23">
      <c r="A39" t="s">
        <v>207</v>
      </c>
      <c r="B39" t="s">
        <v>208</v>
      </c>
      <c r="C39" s="6">
        <v>2.086E-2</v>
      </c>
      <c r="D39">
        <v>1.24E-2</v>
      </c>
      <c r="E39" t="s">
        <v>1105</v>
      </c>
      <c r="F39">
        <v>9688624</v>
      </c>
      <c r="G39" t="s">
        <v>212</v>
      </c>
      <c r="H39">
        <v>3810000000</v>
      </c>
      <c r="I39">
        <v>79720000</v>
      </c>
      <c r="J39">
        <f>Cleaned_data[[#This Row],[Volume (24h) USD]]/Cleaned_data[[#This Row],[Circulating_Supply($)]]</f>
        <v>2.5429459317585302E-3</v>
      </c>
      <c r="K39">
        <f>RANK(Cleaned_data[[#This Row],[  Market Cap]],Cleaned_data[ [  Market Cap] ],0)</f>
        <v>37</v>
      </c>
      <c r="L39" t="str">
        <f t="shared" si="10"/>
        <v>0-0.5</v>
      </c>
      <c r="M39">
        <f t="shared" si="12"/>
        <v>2.086E-2</v>
      </c>
      <c r="N39" t="str">
        <f t="shared" si="13"/>
        <v>Hide</v>
      </c>
      <c r="O39" t="str">
        <f t="shared" si="14"/>
        <v>0-50</v>
      </c>
      <c r="P39">
        <f t="shared" si="15"/>
        <v>2.0604504148557884E-2</v>
      </c>
      <c r="Q39" t="str">
        <f t="shared" si="16"/>
        <v>Up to $10</v>
      </c>
      <c r="R39">
        <f t="shared" si="17"/>
        <v>2.0653465346534654E-2</v>
      </c>
      <c r="S39">
        <f t="shared" si="18"/>
        <v>8.6800000000000002E-2</v>
      </c>
      <c r="T39">
        <f t="shared" si="19"/>
        <v>1.9193963930806038E-2</v>
      </c>
      <c r="U39">
        <f t="shared" si="7"/>
        <v>-0.01</v>
      </c>
      <c r="V39">
        <f t="shared" si="20"/>
        <v>2.9733333333333334E-2</v>
      </c>
      <c r="W39" t="str">
        <f t="shared" si="21"/>
        <v>0-0.05</v>
      </c>
    </row>
    <row r="40" spans="1:23">
      <c r="A40" t="s">
        <v>213</v>
      </c>
      <c r="B40" t="s">
        <v>214</v>
      </c>
      <c r="C40" s="6">
        <v>9.1569999999999998E-4</v>
      </c>
      <c r="D40">
        <v>1.8E-3</v>
      </c>
      <c r="E40" t="s">
        <v>1106</v>
      </c>
      <c r="F40">
        <v>7837706</v>
      </c>
      <c r="G40" t="s">
        <v>217</v>
      </c>
      <c r="H40">
        <v>86780000000</v>
      </c>
      <c r="I40">
        <v>79470000</v>
      </c>
      <c r="J40">
        <f>Cleaned_data[[#This Row],[Volume (24h) USD]]/Cleaned_data[[#This Row],[Circulating_Supply($)]]</f>
        <v>9.0316962433740499E-5</v>
      </c>
      <c r="K40">
        <f>RANK(Cleaned_data[[#This Row],[  Market Cap]],Cleaned_data[ [  Market Cap] ],0)</f>
        <v>38</v>
      </c>
      <c r="L40" t="str">
        <f t="shared" si="10"/>
        <v>0-0.5</v>
      </c>
      <c r="M40">
        <f t="shared" si="12"/>
        <v>9.1569999999999998E-4</v>
      </c>
      <c r="N40" t="str">
        <f t="shared" si="13"/>
        <v>Show</v>
      </c>
      <c r="O40" t="str">
        <f t="shared" si="14"/>
        <v>0-50</v>
      </c>
      <c r="P40">
        <f t="shared" si="15"/>
        <v>9.140547015372329E-4</v>
      </c>
      <c r="Q40" t="str">
        <f t="shared" si="16"/>
        <v>Up to $10</v>
      </c>
      <c r="R40">
        <f t="shared" si="17"/>
        <v>9.0663366336633658E-4</v>
      </c>
      <c r="S40">
        <f t="shared" si="18"/>
        <v>1.26E-2</v>
      </c>
      <c r="T40">
        <f t="shared" si="19"/>
        <v>9.043057475804859E-4</v>
      </c>
      <c r="U40">
        <f t="shared" si="7"/>
        <v>-0.01</v>
      </c>
      <c r="V40">
        <f t="shared" si="20"/>
        <v>1.4666666666666665E-3</v>
      </c>
      <c r="W40" t="str">
        <f t="shared" si="21"/>
        <v>0-0.05</v>
      </c>
    </row>
    <row r="41" spans="1:23">
      <c r="A41" t="s">
        <v>218</v>
      </c>
      <c r="B41" t="s">
        <v>219</v>
      </c>
      <c r="C41" s="6">
        <v>17.91</v>
      </c>
      <c r="D41">
        <v>6.6E-3</v>
      </c>
      <c r="E41" t="s">
        <v>1107</v>
      </c>
      <c r="F41">
        <v>558739</v>
      </c>
      <c r="G41" t="s">
        <v>223</v>
      </c>
      <c r="H41">
        <v>4410000</v>
      </c>
      <c r="I41">
        <v>79090000</v>
      </c>
      <c r="J41">
        <f>Cleaned_data[[#This Row],[Volume (24h) USD]]/Cleaned_data[[#This Row],[Circulating_Supply($)]]</f>
        <v>0.1266981859410431</v>
      </c>
      <c r="K41">
        <f>RANK(Cleaned_data[[#This Row],[  Market Cap]],Cleaned_data[ [  Market Cap] ],0)</f>
        <v>39</v>
      </c>
      <c r="L41" t="str">
        <f t="shared" si="10"/>
        <v>10-100</v>
      </c>
      <c r="M41">
        <f t="shared" si="12"/>
        <v>17.91</v>
      </c>
      <c r="N41" t="str">
        <f t="shared" si="13"/>
        <v>Hide</v>
      </c>
      <c r="O41" t="str">
        <f t="shared" si="14"/>
        <v>0-50</v>
      </c>
      <c r="P41">
        <f t="shared" si="15"/>
        <v>17.792569044307573</v>
      </c>
      <c r="Q41" t="str">
        <f t="shared" si="16"/>
        <v>&gt;= $10</v>
      </c>
      <c r="R41">
        <f t="shared" si="17"/>
        <v>17.732673267326732</v>
      </c>
      <c r="S41">
        <f t="shared" si="18"/>
        <v>4.6199999999999998E-2</v>
      </c>
      <c r="T41">
        <f t="shared" si="19"/>
        <v>17.119097686866755</v>
      </c>
      <c r="U41">
        <f t="shared" si="7"/>
        <v>-0.01</v>
      </c>
      <c r="V41">
        <f t="shared" si="20"/>
        <v>1.4266666666666665E-2</v>
      </c>
      <c r="W41" t="str">
        <f t="shared" si="21"/>
        <v>5-50</v>
      </c>
    </row>
    <row r="42" spans="1:23">
      <c r="A42" t="s">
        <v>224</v>
      </c>
      <c r="B42" t="s">
        <v>225</v>
      </c>
      <c r="C42" s="6">
        <v>0.28560000000000002</v>
      </c>
      <c r="D42">
        <v>1E-4</v>
      </c>
      <c r="E42" t="s">
        <v>1108</v>
      </c>
      <c r="F42">
        <v>743386018</v>
      </c>
      <c r="G42" t="s">
        <v>228</v>
      </c>
      <c r="H42">
        <v>190000000</v>
      </c>
      <c r="I42">
        <v>54270000</v>
      </c>
      <c r="J42">
        <f>Cleaned_data[[#This Row],[Volume (24h) USD]]/Cleaned_data[[#This Row],[Circulating_Supply($)]]</f>
        <v>3.9125579894736844</v>
      </c>
      <c r="K42">
        <f>RANK(Cleaned_data[[#This Row],[  Market Cap]],Cleaned_data[ [  Market Cap] ],0)</f>
        <v>40</v>
      </c>
      <c r="L42" t="str">
        <f t="shared" si="10"/>
        <v>0-0.5</v>
      </c>
      <c r="M42">
        <f t="shared" si="12"/>
        <v>0.28560000000000002</v>
      </c>
      <c r="N42" t="str">
        <f t="shared" si="13"/>
        <v>Show</v>
      </c>
      <c r="O42" t="str">
        <f t="shared" si="14"/>
        <v>0-50</v>
      </c>
      <c r="P42">
        <f t="shared" si="15"/>
        <v>0.28557144285571445</v>
      </c>
      <c r="Q42" t="str">
        <f t="shared" si="16"/>
        <v>Up to $10</v>
      </c>
      <c r="R42">
        <f t="shared" si="17"/>
        <v>0.2827722772277228</v>
      </c>
      <c r="S42">
        <f t="shared" si="18"/>
        <v>6.9999999999999999E-4</v>
      </c>
      <c r="T42">
        <f t="shared" si="19"/>
        <v>0.28540021984610775</v>
      </c>
      <c r="U42">
        <f t="shared" si="7"/>
        <v>-0.01</v>
      </c>
      <c r="V42">
        <f t="shared" si="20"/>
        <v>3.0666666666666672E-3</v>
      </c>
      <c r="W42" t="str">
        <f t="shared" si="21"/>
        <v>0.05-0.5</v>
      </c>
    </row>
    <row r="43" spans="1:23">
      <c r="A43" t="s">
        <v>229</v>
      </c>
      <c r="B43" t="s">
        <v>230</v>
      </c>
      <c r="C43" s="6">
        <v>0.27810000000000001</v>
      </c>
      <c r="D43">
        <v>2.0999999999999999E-3</v>
      </c>
      <c r="E43" t="s">
        <v>1109</v>
      </c>
      <c r="F43">
        <v>7210561</v>
      </c>
      <c r="G43" t="s">
        <v>233</v>
      </c>
      <c r="H43">
        <v>195000000</v>
      </c>
      <c r="I43">
        <v>54250000</v>
      </c>
      <c r="J43">
        <f>Cleaned_data[[#This Row],[Volume (24h) USD]]/Cleaned_data[[#This Row],[Circulating_Supply($)]]</f>
        <v>3.6977235897435901E-2</v>
      </c>
      <c r="K43">
        <f>RANK(Cleaned_data[[#This Row],[  Market Cap]],Cleaned_data[ [  Market Cap] ],0)</f>
        <v>41</v>
      </c>
      <c r="L43" t="str">
        <f t="shared" si="10"/>
        <v>0-0.5</v>
      </c>
      <c r="M43">
        <f t="shared" si="12"/>
        <v>0.27810000000000001</v>
      </c>
      <c r="N43" t="str">
        <f t="shared" si="13"/>
        <v>Hide</v>
      </c>
      <c r="O43" t="str">
        <f t="shared" si="14"/>
        <v>0-50</v>
      </c>
      <c r="P43">
        <f t="shared" si="15"/>
        <v>0.2775172138509131</v>
      </c>
      <c r="Q43" t="str">
        <f t="shared" si="16"/>
        <v>Up to $10</v>
      </c>
      <c r="R43">
        <f t="shared" si="17"/>
        <v>0.27534653465346537</v>
      </c>
      <c r="S43">
        <f t="shared" si="18"/>
        <v>1.47E-2</v>
      </c>
      <c r="T43">
        <f t="shared" si="19"/>
        <v>0.27407115403567561</v>
      </c>
      <c r="U43">
        <f t="shared" si="7"/>
        <v>-0.01</v>
      </c>
      <c r="V43">
        <f t="shared" si="20"/>
        <v>2.2666666666666664E-3</v>
      </c>
      <c r="W43" t="str">
        <f t="shared" si="21"/>
        <v>0.05-0.5</v>
      </c>
    </row>
    <row r="44" spans="1:23">
      <c r="A44" t="s">
        <v>234</v>
      </c>
      <c r="B44" t="s">
        <v>235</v>
      </c>
      <c r="C44" s="6">
        <v>0.53820000000000001</v>
      </c>
      <c r="D44">
        <v>0</v>
      </c>
      <c r="E44" t="s">
        <v>1110</v>
      </c>
      <c r="F44">
        <v>16208611</v>
      </c>
      <c r="G44" t="s">
        <v>238</v>
      </c>
      <c r="H44">
        <v>100000000</v>
      </c>
      <c r="I44">
        <v>53830000</v>
      </c>
      <c r="J44">
        <f>Cleaned_data[[#This Row],[Volume (24h) USD]]/Cleaned_data[[#This Row],[Circulating_Supply($)]]</f>
        <v>0.16208611000000001</v>
      </c>
      <c r="K44">
        <f>RANK(Cleaned_data[[#This Row],[  Market Cap]],Cleaned_data[ [  Market Cap] ],0)</f>
        <v>42</v>
      </c>
      <c r="L44" t="str">
        <f t="shared" si="10"/>
        <v>0.5-1</v>
      </c>
      <c r="M44">
        <f t="shared" si="12"/>
        <v>0.53820000000000001</v>
      </c>
      <c r="N44" t="str">
        <f t="shared" si="13"/>
        <v>Hide</v>
      </c>
      <c r="O44" t="str">
        <f t="shared" si="14"/>
        <v>0-50</v>
      </c>
      <c r="P44">
        <f t="shared" si="15"/>
        <v>0.53820000000000001</v>
      </c>
      <c r="Q44" t="str">
        <f t="shared" si="16"/>
        <v>Up to $10</v>
      </c>
      <c r="R44">
        <f t="shared" si="17"/>
        <v>0.5328712871287129</v>
      </c>
      <c r="S44">
        <f t="shared" si="18"/>
        <v>0</v>
      </c>
      <c r="T44">
        <f t="shared" si="19"/>
        <v>0.53820000000000001</v>
      </c>
      <c r="U44">
        <f t="shared" si="7"/>
        <v>-0.01</v>
      </c>
      <c r="V44">
        <f t="shared" si="20"/>
        <v>3.3333333333333335E-3</v>
      </c>
      <c r="W44" t="str">
        <f t="shared" si="21"/>
        <v>0.5-5</v>
      </c>
    </row>
    <row r="45" spans="1:23">
      <c r="A45" t="s">
        <v>239</v>
      </c>
      <c r="B45" t="s">
        <v>240</v>
      </c>
      <c r="C45" s="6">
        <v>201.91</v>
      </c>
      <c r="D45">
        <v>2.0000000000000001E-4</v>
      </c>
      <c r="E45" t="s">
        <v>1111</v>
      </c>
      <c r="F45">
        <v>1920230</v>
      </c>
      <c r="G45" t="s">
        <v>244</v>
      </c>
      <c r="H45">
        <v>266170</v>
      </c>
      <c r="I45">
        <v>53740000</v>
      </c>
      <c r="J45">
        <f>Cleaned_data[[#This Row],[Volume (24h) USD]]/Cleaned_data[[#This Row],[Circulating_Supply($)]]</f>
        <v>7.2142991321335987</v>
      </c>
      <c r="K45">
        <f>RANK(Cleaned_data[[#This Row],[  Market Cap]],Cleaned_data[ [  Market Cap] ],0)</f>
        <v>43</v>
      </c>
      <c r="L45" t="str">
        <f t="shared" si="10"/>
        <v>100-10000</v>
      </c>
      <c r="M45">
        <f t="shared" si="12"/>
        <v>201.91</v>
      </c>
      <c r="N45" t="str">
        <f t="shared" si="13"/>
        <v>Show</v>
      </c>
      <c r="O45" t="str">
        <f t="shared" si="14"/>
        <v>Above 50</v>
      </c>
      <c r="P45">
        <f t="shared" si="15"/>
        <v>201.86962607478503</v>
      </c>
      <c r="Q45" t="str">
        <f t="shared" si="16"/>
        <v>&gt;= $10</v>
      </c>
      <c r="R45">
        <f t="shared" si="17"/>
        <v>199.9108910891089</v>
      </c>
      <c r="S45">
        <f t="shared" si="18"/>
        <v>1.4E-3</v>
      </c>
      <c r="T45">
        <f t="shared" si="19"/>
        <v>201.62772119033352</v>
      </c>
      <c r="U45">
        <f t="shared" si="7"/>
        <v>-0.01</v>
      </c>
      <c r="V45">
        <f t="shared" si="20"/>
        <v>2.8E-3</v>
      </c>
      <c r="W45" t="str">
        <f t="shared" si="21"/>
        <v>&gt;$50</v>
      </c>
    </row>
    <row r="46" spans="1:23">
      <c r="A46" t="s">
        <v>245</v>
      </c>
      <c r="B46" t="s">
        <v>245</v>
      </c>
      <c r="C46" s="6">
        <v>3.9069999999999999E-3</v>
      </c>
      <c r="D46">
        <v>1.2999999999999999E-3</v>
      </c>
      <c r="E46" t="s">
        <v>1112</v>
      </c>
      <c r="F46">
        <v>4921622</v>
      </c>
      <c r="G46" t="s">
        <v>248</v>
      </c>
      <c r="H46">
        <v>13720000000</v>
      </c>
      <c r="I46">
        <v>53630000</v>
      </c>
      <c r="J46">
        <f>Cleaned_data[[#This Row],[Volume (24h) USD]]/Cleaned_data[[#This Row],[Circulating_Supply($)]]</f>
        <v>3.5871880466472304E-4</v>
      </c>
      <c r="K46">
        <f>RANK(Cleaned_data[[#This Row],[  Market Cap]],Cleaned_data[ [  Market Cap] ],0)</f>
        <v>44</v>
      </c>
      <c r="L46" t="str">
        <f t="shared" si="10"/>
        <v>0-0.5</v>
      </c>
      <c r="M46">
        <f t="shared" si="12"/>
        <v>3.9069999999999999E-3</v>
      </c>
      <c r="N46" t="str">
        <f t="shared" si="13"/>
        <v>Hide</v>
      </c>
      <c r="O46" t="str">
        <f t="shared" si="14"/>
        <v>0-50</v>
      </c>
      <c r="P46">
        <f t="shared" si="15"/>
        <v>3.9019274942574647E-3</v>
      </c>
      <c r="Q46" t="str">
        <f t="shared" si="16"/>
        <v>Up to $10</v>
      </c>
      <c r="R46">
        <f t="shared" si="17"/>
        <v>3.8683168316831682E-3</v>
      </c>
      <c r="S46">
        <f t="shared" si="18"/>
        <v>9.1000000000000004E-3</v>
      </c>
      <c r="T46">
        <f t="shared" si="19"/>
        <v>3.8717669210187292E-3</v>
      </c>
      <c r="U46">
        <f t="shared" si="7"/>
        <v>-0.01</v>
      </c>
      <c r="V46">
        <f t="shared" si="20"/>
        <v>1.3333333333333369E-4</v>
      </c>
      <c r="W46" t="str">
        <f t="shared" si="21"/>
        <v>0-0.05</v>
      </c>
    </row>
    <row r="47" spans="1:23">
      <c r="A47" t="s">
        <v>249</v>
      </c>
      <c r="B47" t="s">
        <v>250</v>
      </c>
      <c r="C47" s="6">
        <v>6.2850000000000003E-2</v>
      </c>
      <c r="D47">
        <v>1.4E-3</v>
      </c>
      <c r="E47" t="s">
        <v>1113</v>
      </c>
      <c r="F47">
        <v>12747747</v>
      </c>
      <c r="G47" t="s">
        <v>254</v>
      </c>
      <c r="H47">
        <v>851870000</v>
      </c>
      <c r="I47">
        <v>53540000</v>
      </c>
      <c r="J47">
        <f>Cleaned_data[[#This Row],[Volume (24h) USD]]/Cleaned_data[[#This Row],[Circulating_Supply($)]]</f>
        <v>1.4964427670888751E-2</v>
      </c>
      <c r="K47">
        <f>RANK(Cleaned_data[[#This Row],[  Market Cap]],Cleaned_data[ [  Market Cap] ],0)</f>
        <v>45</v>
      </c>
      <c r="L47" t="str">
        <f t="shared" si="10"/>
        <v>0-0.5</v>
      </c>
      <c r="M47">
        <f t="shared" si="12"/>
        <v>6.2850000000000003E-2</v>
      </c>
      <c r="N47" t="str">
        <f t="shared" si="13"/>
        <v>Hide</v>
      </c>
      <c r="O47" t="str">
        <f t="shared" si="14"/>
        <v>0-50</v>
      </c>
      <c r="P47">
        <f t="shared" si="15"/>
        <v>6.276213301378071E-2</v>
      </c>
      <c r="Q47" t="str">
        <f t="shared" si="16"/>
        <v>Up to $10</v>
      </c>
      <c r="R47">
        <f t="shared" si="17"/>
        <v>6.2227722772277227E-2</v>
      </c>
      <c r="S47">
        <f t="shared" si="18"/>
        <v>9.7999999999999997E-3</v>
      </c>
      <c r="T47">
        <f t="shared" si="19"/>
        <v>6.2240047534165184E-2</v>
      </c>
      <c r="U47">
        <f t="shared" si="7"/>
        <v>-0.01</v>
      </c>
      <c r="V47">
        <f t="shared" si="20"/>
        <v>3.9999999999999991E-4</v>
      </c>
      <c r="W47" t="str">
        <f t="shared" si="21"/>
        <v>0.05-0.5</v>
      </c>
    </row>
    <row r="48" spans="1:23">
      <c r="A48" t="s">
        <v>255</v>
      </c>
      <c r="B48" t="s">
        <v>256</v>
      </c>
      <c r="C48" s="6">
        <v>170.15</v>
      </c>
      <c r="D48">
        <v>0</v>
      </c>
      <c r="E48" t="s">
        <v>1113</v>
      </c>
      <c r="F48">
        <v>103</v>
      </c>
      <c r="G48" t="s">
        <v>259</v>
      </c>
      <c r="H48">
        <v>314640</v>
      </c>
      <c r="I48">
        <v>53540000</v>
      </c>
      <c r="J48">
        <f>Cleaned_data[[#This Row],[Volume (24h) USD]]/Cleaned_data[[#This Row],[Circulating_Supply($)]]</f>
        <v>3.273582506992118E-4</v>
      </c>
      <c r="K48">
        <f>RANK(Cleaned_data[[#This Row],[  Market Cap]],Cleaned_data[ [  Market Cap] ],0)</f>
        <v>45</v>
      </c>
      <c r="L48" t="str">
        <f t="shared" si="10"/>
        <v>100-10000</v>
      </c>
      <c r="M48">
        <f t="shared" si="12"/>
        <v>170.15</v>
      </c>
      <c r="N48" t="str">
        <f t="shared" si="13"/>
        <v>Hide</v>
      </c>
      <c r="O48" t="str">
        <f t="shared" si="14"/>
        <v>Above 50</v>
      </c>
      <c r="P48">
        <f t="shared" si="15"/>
        <v>170.15</v>
      </c>
      <c r="Q48" t="str">
        <f t="shared" si="16"/>
        <v>&gt;= $10</v>
      </c>
      <c r="R48">
        <f t="shared" si="17"/>
        <v>168.46534653465346</v>
      </c>
      <c r="S48">
        <f t="shared" si="18"/>
        <v>0</v>
      </c>
      <c r="T48">
        <f t="shared" si="19"/>
        <v>170.15</v>
      </c>
      <c r="U48">
        <f t="shared" si="7"/>
        <v>-0.01</v>
      </c>
      <c r="V48">
        <f t="shared" si="20"/>
        <v>3.3333333333333335E-3</v>
      </c>
      <c r="W48" t="str">
        <f t="shared" si="21"/>
        <v>&gt;$50</v>
      </c>
    </row>
    <row r="49" spans="1:23">
      <c r="A49" t="s">
        <v>260</v>
      </c>
      <c r="B49" t="s">
        <v>261</v>
      </c>
      <c r="C49" s="6">
        <v>3.09</v>
      </c>
      <c r="D49">
        <v>3.0000000000000001E-3</v>
      </c>
      <c r="E49" t="s">
        <v>1114</v>
      </c>
      <c r="F49">
        <v>13868687</v>
      </c>
      <c r="G49" t="s">
        <v>264</v>
      </c>
      <c r="H49">
        <v>17240000</v>
      </c>
      <c r="I49">
        <v>53360000</v>
      </c>
      <c r="J49">
        <f>Cleaned_data[[#This Row],[Volume (24h) USD]]/Cleaned_data[[#This Row],[Circulating_Supply($)]]</f>
        <v>0.80444820185614851</v>
      </c>
      <c r="K49">
        <f>RANK(Cleaned_data[[#This Row],[  Market Cap]],Cleaned_data[ [  Market Cap] ],0)</f>
        <v>47</v>
      </c>
      <c r="L49" t="str">
        <f t="shared" si="10"/>
        <v>2-10</v>
      </c>
      <c r="M49">
        <f t="shared" si="12"/>
        <v>3.09</v>
      </c>
      <c r="N49" t="str">
        <f t="shared" si="13"/>
        <v>Hide</v>
      </c>
      <c r="O49" t="str">
        <f t="shared" si="14"/>
        <v>0-50</v>
      </c>
      <c r="P49">
        <f t="shared" si="15"/>
        <v>3.0807577268195416</v>
      </c>
      <c r="Q49" t="str">
        <f t="shared" si="16"/>
        <v>Up to $10</v>
      </c>
      <c r="R49">
        <f t="shared" si="17"/>
        <v>3.0594059405940595</v>
      </c>
      <c r="S49">
        <f t="shared" si="18"/>
        <v>2.1000000000000001E-2</v>
      </c>
      <c r="T49">
        <f t="shared" si="19"/>
        <v>3.0264446620959844</v>
      </c>
      <c r="U49">
        <f t="shared" si="7"/>
        <v>-0.01</v>
      </c>
      <c r="V49">
        <f t="shared" si="20"/>
        <v>4.6666666666666671E-3</v>
      </c>
      <c r="W49" t="str">
        <f t="shared" si="21"/>
        <v>0.5-5</v>
      </c>
    </row>
    <row r="50" spans="1:23">
      <c r="A50" t="s">
        <v>265</v>
      </c>
      <c r="B50" t="s">
        <v>266</v>
      </c>
      <c r="C50" s="6">
        <v>761.75</v>
      </c>
      <c r="D50">
        <v>2.5000000000000001E-3</v>
      </c>
      <c r="E50" t="s">
        <v>1115</v>
      </c>
      <c r="F50">
        <v>3023657</v>
      </c>
      <c r="G50" t="s">
        <v>270</v>
      </c>
      <c r="H50">
        <v>69980</v>
      </c>
      <c r="I50">
        <v>53310000</v>
      </c>
      <c r="J50">
        <f>Cleaned_data[[#This Row],[Volume (24h) USD]]/Cleaned_data[[#This Row],[Circulating_Supply($)]]</f>
        <v>43.207444984281224</v>
      </c>
      <c r="K50">
        <f>RANK(Cleaned_data[[#This Row],[  Market Cap]],Cleaned_data[ [  Market Cap] ],0)</f>
        <v>48</v>
      </c>
      <c r="L50" t="str">
        <f t="shared" si="10"/>
        <v>100-10000</v>
      </c>
      <c r="M50">
        <f t="shared" si="12"/>
        <v>761.75</v>
      </c>
      <c r="N50" t="str">
        <f t="shared" si="13"/>
        <v>Hide</v>
      </c>
      <c r="O50" t="str">
        <f t="shared" si="14"/>
        <v>Above 50</v>
      </c>
      <c r="P50">
        <f t="shared" si="15"/>
        <v>759.85037406483798</v>
      </c>
      <c r="Q50" t="str">
        <f t="shared" si="16"/>
        <v>&gt;= $10</v>
      </c>
      <c r="R50">
        <f t="shared" si="17"/>
        <v>754.20792079207922</v>
      </c>
      <c r="S50">
        <f t="shared" si="18"/>
        <v>1.7500000000000002E-2</v>
      </c>
      <c r="T50">
        <f t="shared" si="19"/>
        <v>748.64864864864865</v>
      </c>
      <c r="U50">
        <f t="shared" si="7"/>
        <v>-0.01</v>
      </c>
      <c r="V50">
        <f t="shared" si="20"/>
        <v>3.333333333333334E-3</v>
      </c>
      <c r="W50" t="str">
        <f t="shared" si="21"/>
        <v>&gt;$50</v>
      </c>
    </row>
    <row r="51" spans="1:23">
      <c r="A51" t="s">
        <v>271</v>
      </c>
      <c r="B51" t="s">
        <v>272</v>
      </c>
      <c r="C51" s="6">
        <v>5.2679999999999998E-2</v>
      </c>
      <c r="D51">
        <v>1.6299999999999999E-2</v>
      </c>
      <c r="E51" t="s">
        <v>1116</v>
      </c>
      <c r="F51">
        <v>1408311</v>
      </c>
      <c r="G51" t="s">
        <v>276</v>
      </c>
      <c r="H51">
        <v>998150000</v>
      </c>
      <c r="I51">
        <v>52590000</v>
      </c>
      <c r="J51">
        <f>Cleaned_data[[#This Row],[Volume (24h) USD]]/Cleaned_data[[#This Row],[Circulating_Supply($)]]</f>
        <v>1.4109212042278214E-3</v>
      </c>
      <c r="K51">
        <f>RANK(Cleaned_data[[#This Row],[  Market Cap]],Cleaned_data[ [  Market Cap] ],0)</f>
        <v>49</v>
      </c>
      <c r="L51" t="str">
        <f t="shared" si="10"/>
        <v>0-0.5</v>
      </c>
      <c r="M51">
        <f t="shared" si="12"/>
        <v>5.2679999999999998E-2</v>
      </c>
      <c r="N51" t="str">
        <f t="shared" si="13"/>
        <v>Hide</v>
      </c>
      <c r="O51" t="str">
        <f t="shared" si="14"/>
        <v>0-50</v>
      </c>
      <c r="P51">
        <f t="shared" si="15"/>
        <v>5.1835088064547868E-2</v>
      </c>
      <c r="Q51" t="str">
        <f t="shared" si="16"/>
        <v>Up to $10</v>
      </c>
      <c r="R51">
        <f t="shared" si="17"/>
        <v>5.2158415841584156E-2</v>
      </c>
      <c r="S51">
        <f t="shared" si="18"/>
        <v>0.11409999999999999</v>
      </c>
      <c r="T51">
        <f t="shared" si="19"/>
        <v>4.728480387756933E-2</v>
      </c>
      <c r="U51">
        <f t="shared" si="7"/>
        <v>-0.01</v>
      </c>
      <c r="V51">
        <f t="shared" si="20"/>
        <v>4.0133333333333333E-2</v>
      </c>
      <c r="W51" t="str">
        <f t="shared" si="21"/>
        <v>0.05-0.5</v>
      </c>
    </row>
    <row r="52" spans="1:23">
      <c r="A52" t="s">
        <v>277</v>
      </c>
      <c r="B52" t="s">
        <v>278</v>
      </c>
      <c r="C52" s="6">
        <v>7.3951000000000003E-2</v>
      </c>
      <c r="D52">
        <v>6.9999999999999999E-4</v>
      </c>
      <c r="E52" t="s">
        <v>1117</v>
      </c>
      <c r="F52">
        <v>2813025</v>
      </c>
      <c r="G52" t="s">
        <v>281</v>
      </c>
      <c r="H52">
        <v>998580000000000</v>
      </c>
      <c r="I52">
        <v>39460000</v>
      </c>
      <c r="J52">
        <f>Cleaned_data[[#This Row],[Volume (24h) USD]]/Cleaned_data[[#This Row],[Circulating_Supply($)]]</f>
        <v>2.8170251757495644E-9</v>
      </c>
      <c r="K52">
        <f>RANK(Cleaned_data[[#This Row],[  Market Cap]],Cleaned_data[ [  Market Cap] ],0)</f>
        <v>50</v>
      </c>
      <c r="L52" t="str">
        <f t="shared" si="10"/>
        <v>0-0.5</v>
      </c>
      <c r="M52">
        <f t="shared" si="12"/>
        <v>7.3951000000000003E-2</v>
      </c>
      <c r="N52" t="str">
        <f t="shared" si="13"/>
        <v>Show</v>
      </c>
      <c r="O52" t="str">
        <f t="shared" si="14"/>
        <v>0-50</v>
      </c>
      <c r="P52">
        <f t="shared" si="15"/>
        <v>7.3899270510642559E-2</v>
      </c>
      <c r="Q52" t="str">
        <f t="shared" si="16"/>
        <v>Up to $10</v>
      </c>
      <c r="R52">
        <f t="shared" si="17"/>
        <v>7.3218811881188117E-2</v>
      </c>
      <c r="S52">
        <f t="shared" si="18"/>
        <v>4.8999999999999998E-3</v>
      </c>
      <c r="T52">
        <f t="shared" si="19"/>
        <v>7.3590407005672209E-2</v>
      </c>
      <c r="U52">
        <f t="shared" si="7"/>
        <v>-0.01</v>
      </c>
      <c r="V52">
        <f t="shared" si="20"/>
        <v>1.4666666666666671E-3</v>
      </c>
      <c r="W52" t="str">
        <f t="shared" si="21"/>
        <v>0.05-0.5</v>
      </c>
    </row>
    <row r="53" spans="1:23">
      <c r="A53" t="s">
        <v>282</v>
      </c>
      <c r="B53" t="s">
        <v>283</v>
      </c>
      <c r="C53" s="6">
        <v>6.2120000000000003E-4</v>
      </c>
      <c r="D53">
        <v>3.7000000000000002E-3</v>
      </c>
      <c r="E53" t="s">
        <v>1118</v>
      </c>
      <c r="F53">
        <v>7257215</v>
      </c>
      <c r="G53" t="s">
        <v>287</v>
      </c>
      <c r="H53">
        <v>63280000000</v>
      </c>
      <c r="I53">
        <v>39320000</v>
      </c>
      <c r="J53">
        <f>Cleaned_data[[#This Row],[Volume (24h) USD]]/Cleaned_data[[#This Row],[Circulating_Supply($)]]</f>
        <v>1.1468418141592921E-4</v>
      </c>
      <c r="K53">
        <f>RANK(Cleaned_data[[#This Row],[  Market Cap]],Cleaned_data[ [  Market Cap] ],0)</f>
        <v>51</v>
      </c>
      <c r="L53" t="str">
        <f t="shared" si="10"/>
        <v>0-0.5</v>
      </c>
      <c r="M53">
        <f t="shared" si="12"/>
        <v>6.2120000000000003E-4</v>
      </c>
      <c r="N53" t="str">
        <f t="shared" si="13"/>
        <v>Hide</v>
      </c>
      <c r="O53" t="str">
        <f t="shared" si="14"/>
        <v>0-50</v>
      </c>
      <c r="P53">
        <f t="shared" si="15"/>
        <v>6.1891003287835008E-4</v>
      </c>
      <c r="Q53" t="str">
        <f t="shared" si="16"/>
        <v>Up to $10</v>
      </c>
      <c r="R53">
        <f t="shared" si="17"/>
        <v>6.1504950495049505E-4</v>
      </c>
      <c r="S53">
        <f t="shared" si="18"/>
        <v>2.5899999999999999E-2</v>
      </c>
      <c r="T53">
        <f t="shared" si="19"/>
        <v>6.0551710693050001E-4</v>
      </c>
      <c r="U53">
        <f t="shared" si="7"/>
        <v>-0.01</v>
      </c>
      <c r="V53">
        <f t="shared" si="20"/>
        <v>6.5333333333333328E-3</v>
      </c>
      <c r="W53" t="str">
        <f t="shared" si="21"/>
        <v>0-0.05</v>
      </c>
    </row>
    <row r="54" spans="1:23">
      <c r="A54" t="s">
        <v>288</v>
      </c>
      <c r="B54" t="s">
        <v>289</v>
      </c>
      <c r="C54" s="6">
        <v>6.9010000000000002E-2</v>
      </c>
      <c r="D54">
        <v>2E-3</v>
      </c>
      <c r="E54" t="s">
        <v>1119</v>
      </c>
      <c r="F54">
        <v>3201066</v>
      </c>
      <c r="G54" t="s">
        <v>293</v>
      </c>
      <c r="H54">
        <v>568130000</v>
      </c>
      <c r="I54">
        <v>39210000</v>
      </c>
      <c r="J54">
        <f>Cleaned_data[[#This Row],[Volume (24h) USD]]/Cleaned_data[[#This Row],[Circulating_Supply($)]]</f>
        <v>5.634390016369493E-3</v>
      </c>
      <c r="K54">
        <f>RANK(Cleaned_data[[#This Row],[  Market Cap]],Cleaned_data[ [  Market Cap] ],0)</f>
        <v>52</v>
      </c>
      <c r="L54" t="str">
        <f t="shared" si="10"/>
        <v>0-0.5</v>
      </c>
      <c r="M54">
        <f t="shared" si="12"/>
        <v>6.9010000000000002E-2</v>
      </c>
      <c r="N54" t="str">
        <f t="shared" si="13"/>
        <v>Hide</v>
      </c>
      <c r="O54" t="str">
        <f t="shared" si="14"/>
        <v>0-50</v>
      </c>
      <c r="P54">
        <f t="shared" si="15"/>
        <v>6.8872255489021955E-2</v>
      </c>
      <c r="Q54" t="str">
        <f t="shared" si="16"/>
        <v>Up to $10</v>
      </c>
      <c r="R54">
        <f t="shared" si="17"/>
        <v>6.8326732673267332E-2</v>
      </c>
      <c r="S54">
        <f t="shared" si="18"/>
        <v>1.4E-2</v>
      </c>
      <c r="T54">
        <f t="shared" si="19"/>
        <v>6.8057199211045361E-2</v>
      </c>
      <c r="U54">
        <f t="shared" si="7"/>
        <v>-0.01</v>
      </c>
      <c r="V54">
        <f t="shared" si="20"/>
        <v>2E-3</v>
      </c>
      <c r="W54" t="str">
        <f t="shared" si="21"/>
        <v>0.05-0.5</v>
      </c>
    </row>
    <row r="55" spans="1:23">
      <c r="A55" t="s">
        <v>294</v>
      </c>
      <c r="B55" t="s">
        <v>295</v>
      </c>
      <c r="C55" s="6">
        <v>7.5069999999999998E-2</v>
      </c>
      <c r="D55">
        <v>1E-4</v>
      </c>
      <c r="E55" t="s">
        <v>1120</v>
      </c>
      <c r="F55">
        <v>10865606</v>
      </c>
      <c r="G55" t="s">
        <v>298</v>
      </c>
      <c r="H55">
        <v>520549999.99999994</v>
      </c>
      <c r="I55">
        <v>39080000</v>
      </c>
      <c r="J55">
        <f>Cleaned_data[[#This Row],[Volume (24h) USD]]/Cleaned_data[[#This Row],[Circulating_Supply($)]]</f>
        <v>2.0873318605321298E-2</v>
      </c>
      <c r="K55">
        <f>RANK(Cleaned_data[[#This Row],[  Market Cap]],Cleaned_data[ [  Market Cap] ],0)</f>
        <v>53</v>
      </c>
      <c r="L55" t="str">
        <f t="shared" si="10"/>
        <v>0-0.5</v>
      </c>
      <c r="M55">
        <f t="shared" si="12"/>
        <v>7.5069999999999998E-2</v>
      </c>
      <c r="N55" t="str">
        <f t="shared" si="13"/>
        <v>Show</v>
      </c>
      <c r="O55" t="str">
        <f t="shared" si="14"/>
        <v>0-50</v>
      </c>
      <c r="P55">
        <f t="shared" si="15"/>
        <v>7.5062493750624931E-2</v>
      </c>
      <c r="Q55" t="str">
        <f t="shared" si="16"/>
        <v>Up to $10</v>
      </c>
      <c r="R55">
        <f t="shared" si="17"/>
        <v>7.4326732673267323E-2</v>
      </c>
      <c r="S55">
        <f t="shared" si="18"/>
        <v>6.9999999999999999E-4</v>
      </c>
      <c r="T55">
        <f t="shared" si="19"/>
        <v>7.5017487758569007E-2</v>
      </c>
      <c r="U55">
        <f t="shared" si="7"/>
        <v>-0.01</v>
      </c>
      <c r="V55">
        <f t="shared" si="20"/>
        <v>3.0666666666666672E-3</v>
      </c>
      <c r="W55" t="str">
        <f t="shared" si="21"/>
        <v>0.05-0.5</v>
      </c>
    </row>
    <row r="56" spans="1:23">
      <c r="A56" t="s">
        <v>299</v>
      </c>
      <c r="B56" t="s">
        <v>299</v>
      </c>
      <c r="C56" s="6">
        <v>6.615E-2</v>
      </c>
      <c r="D56">
        <v>3.0999999999999999E-3</v>
      </c>
      <c r="E56" t="s">
        <v>1121</v>
      </c>
      <c r="F56">
        <v>8589175</v>
      </c>
      <c r="G56" t="s">
        <v>302</v>
      </c>
      <c r="H56">
        <v>589000000</v>
      </c>
      <c r="I56">
        <v>38960000</v>
      </c>
      <c r="J56">
        <f>Cleaned_data[[#This Row],[Volume (24h) USD]]/Cleaned_data[[#This Row],[Circulating_Supply($)]]</f>
        <v>1.4582640067911715E-2</v>
      </c>
      <c r="K56">
        <f>RANK(Cleaned_data[[#This Row],[  Market Cap]],Cleaned_data[ [  Market Cap] ],0)</f>
        <v>54</v>
      </c>
      <c r="L56" t="str">
        <f t="shared" si="10"/>
        <v>0-0.5</v>
      </c>
      <c r="M56">
        <f t="shared" si="12"/>
        <v>6.615E-2</v>
      </c>
      <c r="N56" t="str">
        <f t="shared" si="13"/>
        <v>Show</v>
      </c>
      <c r="O56" t="str">
        <f t="shared" si="14"/>
        <v>0-50</v>
      </c>
      <c r="P56">
        <f t="shared" si="15"/>
        <v>6.5945568736915552E-2</v>
      </c>
      <c r="Q56" t="str">
        <f t="shared" si="16"/>
        <v>Up to $10</v>
      </c>
      <c r="R56">
        <f t="shared" si="17"/>
        <v>6.5495049504950498E-2</v>
      </c>
      <c r="S56">
        <f t="shared" si="18"/>
        <v>2.1700000000000001E-2</v>
      </c>
      <c r="T56">
        <f t="shared" si="19"/>
        <v>6.4745032788489768E-2</v>
      </c>
      <c r="U56">
        <f t="shared" si="7"/>
        <v>-0.01</v>
      </c>
      <c r="V56">
        <f t="shared" si="20"/>
        <v>4.9333333333333338E-3</v>
      </c>
      <c r="W56" t="str">
        <f t="shared" si="21"/>
        <v>0.05-0.5</v>
      </c>
    </row>
    <row r="57" spans="1:23">
      <c r="A57" t="s">
        <v>303</v>
      </c>
      <c r="B57" t="s">
        <v>304</v>
      </c>
      <c r="C57" s="6">
        <v>0.115</v>
      </c>
      <c r="D57">
        <v>2.5000000000000001E-3</v>
      </c>
      <c r="E57" t="s">
        <v>1122</v>
      </c>
      <c r="F57">
        <v>9253493</v>
      </c>
      <c r="G57" t="s">
        <v>307</v>
      </c>
      <c r="H57">
        <v>338170000</v>
      </c>
      <c r="I57">
        <v>38910000</v>
      </c>
      <c r="J57">
        <f>Cleaned_data[[#This Row],[Volume (24h) USD]]/Cleaned_data[[#This Row],[Circulating_Supply($)]]</f>
        <v>2.7363435550167077E-2</v>
      </c>
      <c r="K57">
        <f>RANK(Cleaned_data[[#This Row],[  Market Cap]],Cleaned_data[ [  Market Cap] ],0)</f>
        <v>55</v>
      </c>
      <c r="L57" t="str">
        <f t="shared" si="10"/>
        <v>0-0.5</v>
      </c>
      <c r="M57">
        <f t="shared" si="12"/>
        <v>0.115</v>
      </c>
      <c r="N57" t="str">
        <f t="shared" si="13"/>
        <v>Hide</v>
      </c>
      <c r="O57" t="str">
        <f t="shared" si="14"/>
        <v>0-50</v>
      </c>
      <c r="P57">
        <f t="shared" si="15"/>
        <v>0.114713216957606</v>
      </c>
      <c r="Q57" t="str">
        <f t="shared" si="16"/>
        <v>Up to $10</v>
      </c>
      <c r="R57">
        <f t="shared" si="17"/>
        <v>0.11386138613861387</v>
      </c>
      <c r="S57">
        <f t="shared" si="18"/>
        <v>1.7500000000000002E-2</v>
      </c>
      <c r="T57">
        <f t="shared" si="19"/>
        <v>0.11302211302211301</v>
      </c>
      <c r="U57">
        <f t="shared" si="7"/>
        <v>-0.01</v>
      </c>
      <c r="V57">
        <f t="shared" si="20"/>
        <v>3.333333333333334E-3</v>
      </c>
      <c r="W57" t="str">
        <f t="shared" si="21"/>
        <v>0.05-0.5</v>
      </c>
    </row>
    <row r="58" spans="1:23">
      <c r="A58" t="s">
        <v>308</v>
      </c>
      <c r="B58" t="s">
        <v>309</v>
      </c>
      <c r="C58" s="6">
        <v>6.1265E-2</v>
      </c>
      <c r="D58">
        <v>1.5900000000000001E-2</v>
      </c>
      <c r="E58" t="s">
        <v>1123</v>
      </c>
      <c r="F58">
        <v>9621783</v>
      </c>
      <c r="G58" t="s">
        <v>313</v>
      </c>
      <c r="H58">
        <v>305920000000000</v>
      </c>
      <c r="I58">
        <v>38710000</v>
      </c>
      <c r="J58">
        <f>Cleaned_data[[#This Row],[Volume (24h) USD]]/Cleaned_data[[#This Row],[Circulating_Supply($)]]</f>
        <v>3.1451958028242675E-8</v>
      </c>
      <c r="K58">
        <f>RANK(Cleaned_data[[#This Row],[  Market Cap]],Cleaned_data[ [  Market Cap] ],0)</f>
        <v>57</v>
      </c>
      <c r="L58" t="str">
        <f t="shared" si="10"/>
        <v>0-0.5</v>
      </c>
      <c r="M58">
        <f t="shared" si="12"/>
        <v>6.1265E-2</v>
      </c>
      <c r="N58" t="str">
        <f t="shared" si="13"/>
        <v>Hide</v>
      </c>
      <c r="O58" t="str">
        <f t="shared" si="14"/>
        <v>0-50</v>
      </c>
      <c r="P58">
        <f t="shared" si="15"/>
        <v>6.0306132493355646E-2</v>
      </c>
      <c r="Q58" t="str">
        <f t="shared" si="16"/>
        <v>Up to $10</v>
      </c>
      <c r="R58">
        <f t="shared" si="17"/>
        <v>6.0658415841584157E-2</v>
      </c>
      <c r="S58">
        <f t="shared" si="18"/>
        <v>0.11130000000000001</v>
      </c>
      <c r="T58">
        <f t="shared" si="19"/>
        <v>5.51291280482318E-2</v>
      </c>
      <c r="U58">
        <f t="shared" si="7"/>
        <v>-0.01</v>
      </c>
      <c r="V58">
        <f t="shared" si="20"/>
        <v>3.9066666666666673E-2</v>
      </c>
      <c r="W58" t="str">
        <f t="shared" si="21"/>
        <v>0.05-0.5</v>
      </c>
    </row>
    <row r="59" spans="1:23">
      <c r="A59" t="s">
        <v>314</v>
      </c>
      <c r="B59" t="s">
        <v>315</v>
      </c>
      <c r="C59" s="6">
        <v>8.8780000000000005E-3</v>
      </c>
      <c r="D59">
        <v>1E-4</v>
      </c>
      <c r="E59" t="s">
        <v>1124</v>
      </c>
      <c r="F59">
        <v>3170357</v>
      </c>
      <c r="G59" t="s">
        <v>318</v>
      </c>
      <c r="H59">
        <v>4370000000</v>
      </c>
      <c r="I59">
        <v>38800000</v>
      </c>
      <c r="J59">
        <f>Cleaned_data[[#This Row],[Volume (24h) USD]]/Cleaned_data[[#This Row],[Circulating_Supply($)]]</f>
        <v>7.2548215102974834E-4</v>
      </c>
      <c r="K59">
        <f>RANK(Cleaned_data[[#This Row],[  Market Cap]],Cleaned_data[ [  Market Cap] ],0)</f>
        <v>56</v>
      </c>
      <c r="L59" t="str">
        <f t="shared" si="10"/>
        <v>0-0.5</v>
      </c>
      <c r="M59">
        <f t="shared" si="12"/>
        <v>8.8780000000000005E-3</v>
      </c>
      <c r="N59" t="str">
        <f t="shared" si="13"/>
        <v>Show</v>
      </c>
      <c r="O59" t="str">
        <f t="shared" si="14"/>
        <v>0-50</v>
      </c>
      <c r="P59">
        <f t="shared" si="15"/>
        <v>8.8771122887711228E-3</v>
      </c>
      <c r="Q59" t="str">
        <f t="shared" si="16"/>
        <v>Up to $10</v>
      </c>
      <c r="R59">
        <f t="shared" si="17"/>
        <v>8.7900990099009906E-3</v>
      </c>
      <c r="S59">
        <f t="shared" si="18"/>
        <v>6.9999999999999999E-4</v>
      </c>
      <c r="T59">
        <f t="shared" si="19"/>
        <v>8.871789747176978E-3</v>
      </c>
      <c r="U59">
        <f t="shared" si="7"/>
        <v>-0.01</v>
      </c>
      <c r="V59">
        <f t="shared" si="20"/>
        <v>3.0666666666666672E-3</v>
      </c>
      <c r="W59" t="str">
        <f t="shared" si="21"/>
        <v>0-0.05</v>
      </c>
    </row>
    <row r="60" spans="1:23">
      <c r="A60" t="s">
        <v>319</v>
      </c>
      <c r="B60" t="s">
        <v>319</v>
      </c>
      <c r="C60" s="6">
        <v>1.243E-2</v>
      </c>
      <c r="D60">
        <v>5.5999999999999999E-3</v>
      </c>
      <c r="E60" t="s">
        <v>1125</v>
      </c>
      <c r="F60">
        <v>85139946</v>
      </c>
      <c r="G60" t="s">
        <v>323</v>
      </c>
      <c r="H60">
        <v>3110000000</v>
      </c>
      <c r="I60">
        <v>38690000</v>
      </c>
      <c r="J60">
        <f>Cleaned_data[[#This Row],[Volume (24h) USD]]/Cleaned_data[[#This Row],[Circulating_Supply($)]]</f>
        <v>2.73761884244373E-2</v>
      </c>
      <c r="K60">
        <f>RANK(Cleaned_data[[#This Row],[  Market Cap]],Cleaned_data[ [  Market Cap] ],0)</f>
        <v>58</v>
      </c>
      <c r="L60" t="str">
        <f t="shared" si="10"/>
        <v>0-0.5</v>
      </c>
      <c r="M60">
        <f t="shared" si="12"/>
        <v>1.243E-2</v>
      </c>
      <c r="N60" t="str">
        <f t="shared" si="13"/>
        <v>Hide</v>
      </c>
      <c r="O60" t="str">
        <f t="shared" si="14"/>
        <v>0-50</v>
      </c>
      <c r="P60">
        <f t="shared" si="15"/>
        <v>1.2360779634049324E-2</v>
      </c>
      <c r="Q60" t="str">
        <f t="shared" si="16"/>
        <v>Up to $10</v>
      </c>
      <c r="R60">
        <f t="shared" si="17"/>
        <v>1.2306930693069307E-2</v>
      </c>
      <c r="S60">
        <f t="shared" si="18"/>
        <v>3.9199999999999999E-2</v>
      </c>
      <c r="T60">
        <f t="shared" si="19"/>
        <v>1.1961123941493458E-2</v>
      </c>
      <c r="U60">
        <f t="shared" si="7"/>
        <v>-0.01</v>
      </c>
      <c r="V60">
        <f t="shared" si="20"/>
        <v>1.1599999999999999E-2</v>
      </c>
      <c r="W60" t="str">
        <f t="shared" si="21"/>
        <v>0-0.05</v>
      </c>
    </row>
    <row r="61" spans="1:23">
      <c r="A61" t="s">
        <v>324</v>
      </c>
      <c r="B61" t="s">
        <v>324</v>
      </c>
      <c r="C61" s="6">
        <v>1.168E-3</v>
      </c>
      <c r="D61">
        <v>1.5E-3</v>
      </c>
      <c r="E61" t="s">
        <v>1126</v>
      </c>
      <c r="F61">
        <v>5733599</v>
      </c>
      <c r="G61" t="s">
        <v>327</v>
      </c>
      <c r="H61">
        <v>32909999999.999996</v>
      </c>
      <c r="I61">
        <v>38470000</v>
      </c>
      <c r="J61">
        <f>Cleaned_data[[#This Row],[Volume (24h) USD]]/Cleaned_data[[#This Row],[Circulating_Supply($)]]</f>
        <v>1.7422057125493772E-4</v>
      </c>
      <c r="K61">
        <f>RANK(Cleaned_data[[#This Row],[  Market Cap]],Cleaned_data[ [  Market Cap] ],0)</f>
        <v>59</v>
      </c>
      <c r="L61" t="str">
        <f t="shared" si="10"/>
        <v>0-0.5</v>
      </c>
      <c r="M61">
        <f t="shared" si="12"/>
        <v>1.168E-3</v>
      </c>
      <c r="N61" t="str">
        <f t="shared" si="13"/>
        <v>Show</v>
      </c>
      <c r="O61" t="str">
        <f t="shared" si="14"/>
        <v>0-50</v>
      </c>
      <c r="P61">
        <f t="shared" si="15"/>
        <v>1.166250624063904E-3</v>
      </c>
      <c r="Q61" t="str">
        <f t="shared" si="16"/>
        <v>Up to $10</v>
      </c>
      <c r="R61">
        <f t="shared" si="17"/>
        <v>1.1564356435643565E-3</v>
      </c>
      <c r="S61">
        <f t="shared" si="18"/>
        <v>1.0500000000000001E-2</v>
      </c>
      <c r="T61">
        <f t="shared" si="19"/>
        <v>1.1558634339435922E-3</v>
      </c>
      <c r="U61">
        <f t="shared" si="7"/>
        <v>-0.01</v>
      </c>
      <c r="V61">
        <f t="shared" si="20"/>
        <v>6.6666666666666664E-4</v>
      </c>
      <c r="W61" t="str">
        <f t="shared" si="21"/>
        <v>0-0.05</v>
      </c>
    </row>
    <row r="62" spans="1:23">
      <c r="A62" t="s">
        <v>328</v>
      </c>
      <c r="B62" t="s">
        <v>329</v>
      </c>
      <c r="C62" s="6">
        <v>1.7890000000000001E-4</v>
      </c>
      <c r="D62">
        <v>2.2000000000000001E-3</v>
      </c>
      <c r="E62" t="s">
        <v>1127</v>
      </c>
      <c r="F62">
        <v>3509980</v>
      </c>
      <c r="G62" t="s">
        <v>333</v>
      </c>
      <c r="H62">
        <v>171510000000</v>
      </c>
      <c r="I62">
        <v>30700000</v>
      </c>
      <c r="J62">
        <f>Cleaned_data[[#This Row],[Volume (24h) USD]]/Cleaned_data[[#This Row],[Circulating_Supply($)]]</f>
        <v>2.0465162381202263E-5</v>
      </c>
      <c r="K62">
        <f>RANK(Cleaned_data[[#This Row],[  Market Cap]],Cleaned_data[ [  Market Cap] ],0)</f>
        <v>60</v>
      </c>
      <c r="L62" t="str">
        <f t="shared" si="10"/>
        <v>0-0.5</v>
      </c>
      <c r="M62">
        <f t="shared" si="12"/>
        <v>1.7890000000000001E-4</v>
      </c>
      <c r="N62" t="str">
        <f t="shared" si="13"/>
        <v>Hide</v>
      </c>
      <c r="O62" t="str">
        <f t="shared" si="14"/>
        <v>0-50</v>
      </c>
      <c r="P62">
        <f t="shared" si="15"/>
        <v>1.7850728397525445E-4</v>
      </c>
      <c r="Q62" t="str">
        <f t="shared" si="16"/>
        <v>Up to $10</v>
      </c>
      <c r="R62">
        <f t="shared" si="17"/>
        <v>1.7712871287128715E-4</v>
      </c>
      <c r="S62">
        <f t="shared" si="18"/>
        <v>1.54E-2</v>
      </c>
      <c r="T62">
        <f t="shared" si="19"/>
        <v>1.7618672444356904E-4</v>
      </c>
      <c r="U62">
        <f t="shared" si="7"/>
        <v>-0.01</v>
      </c>
      <c r="V62">
        <f t="shared" si="20"/>
        <v>2.5333333333333336E-3</v>
      </c>
      <c r="W62" t="str">
        <f t="shared" si="21"/>
        <v>0-0.05</v>
      </c>
    </row>
    <row r="63" spans="1:23">
      <c r="A63" t="s">
        <v>334</v>
      </c>
      <c r="B63" t="s">
        <v>335</v>
      </c>
      <c r="C63" s="6">
        <v>0.30680000000000002</v>
      </c>
      <c r="D63">
        <v>2.9999999999999997E-4</v>
      </c>
      <c r="E63" t="s">
        <v>1128</v>
      </c>
      <c r="F63">
        <v>210995</v>
      </c>
      <c r="G63" t="s">
        <v>238</v>
      </c>
      <c r="H63">
        <v>100000000</v>
      </c>
      <c r="I63">
        <v>30690000</v>
      </c>
      <c r="J63">
        <f>Cleaned_data[[#This Row],[Volume (24h) USD]]/Cleaned_data[[#This Row],[Circulating_Supply($)]]</f>
        <v>2.1099500000000002E-3</v>
      </c>
      <c r="K63">
        <f>RANK(Cleaned_data[[#This Row],[  Market Cap]],Cleaned_data[ [  Market Cap] ],0)</f>
        <v>61</v>
      </c>
      <c r="L63" t="str">
        <f t="shared" si="10"/>
        <v>0-0.5</v>
      </c>
      <c r="M63">
        <f t="shared" si="12"/>
        <v>0.30680000000000002</v>
      </c>
      <c r="N63" t="str">
        <f t="shared" si="13"/>
        <v>Hide</v>
      </c>
      <c r="O63" t="str">
        <f t="shared" si="14"/>
        <v>0-50</v>
      </c>
      <c r="P63">
        <f t="shared" si="15"/>
        <v>0.30670798760371892</v>
      </c>
      <c r="Q63" t="str">
        <f t="shared" si="16"/>
        <v>Up to $10</v>
      </c>
      <c r="R63">
        <f t="shared" si="17"/>
        <v>0.30376237623762375</v>
      </c>
      <c r="S63">
        <f t="shared" si="18"/>
        <v>2.0999999999999999E-3</v>
      </c>
      <c r="T63">
        <f t="shared" si="19"/>
        <v>0.3061570701526794</v>
      </c>
      <c r="U63">
        <f t="shared" si="7"/>
        <v>-0.01</v>
      </c>
      <c r="V63">
        <f t="shared" si="20"/>
        <v>2.5333333333333336E-3</v>
      </c>
      <c r="W63" t="str">
        <f t="shared" si="21"/>
        <v>0.05-0.5</v>
      </c>
    </row>
    <row r="64" spans="1:23">
      <c r="A64" t="s">
        <v>338</v>
      </c>
      <c r="B64" t="s">
        <v>339</v>
      </c>
      <c r="C64" s="6">
        <v>10.119999999999999</v>
      </c>
      <c r="D64">
        <v>0</v>
      </c>
      <c r="E64" t="s">
        <v>1129</v>
      </c>
      <c r="F64">
        <v>5</v>
      </c>
      <c r="G64" t="s">
        <v>342</v>
      </c>
      <c r="H64">
        <v>3020000</v>
      </c>
      <c r="I64">
        <v>30640000</v>
      </c>
      <c r="J64">
        <f>Cleaned_data[[#This Row],[Volume (24h) USD]]/Cleaned_data[[#This Row],[Circulating_Supply($)]]</f>
        <v>1.6556291390728476E-6</v>
      </c>
      <c r="K64">
        <f>RANK(Cleaned_data[[#This Row],[  Market Cap]],Cleaned_data[ [  Market Cap] ],0)</f>
        <v>62</v>
      </c>
      <c r="L64" t="str">
        <f t="shared" si="10"/>
        <v>10-100</v>
      </c>
      <c r="M64">
        <f t="shared" si="12"/>
        <v>10.119999999999999</v>
      </c>
      <c r="N64" t="str">
        <f t="shared" si="13"/>
        <v>Hide</v>
      </c>
      <c r="O64" t="str">
        <f t="shared" si="14"/>
        <v>0-50</v>
      </c>
      <c r="P64">
        <f t="shared" si="15"/>
        <v>10.119999999999999</v>
      </c>
      <c r="Q64" t="str">
        <f t="shared" si="16"/>
        <v>&gt;= $10</v>
      </c>
      <c r="R64">
        <f t="shared" si="17"/>
        <v>10.01980198019802</v>
      </c>
      <c r="S64">
        <f t="shared" si="18"/>
        <v>0</v>
      </c>
      <c r="T64">
        <f t="shared" si="19"/>
        <v>10.119999999999999</v>
      </c>
      <c r="U64">
        <f t="shared" si="7"/>
        <v>-0.01</v>
      </c>
      <c r="V64">
        <f t="shared" si="20"/>
        <v>3.3333333333333335E-3</v>
      </c>
      <c r="W64" t="str">
        <f t="shared" si="21"/>
        <v>5-50</v>
      </c>
    </row>
    <row r="65" spans="1:23">
      <c r="A65" t="s">
        <v>343</v>
      </c>
      <c r="B65" t="s">
        <v>344</v>
      </c>
      <c r="C65" s="6">
        <v>3.0040000000000001E-2</v>
      </c>
      <c r="D65">
        <v>0</v>
      </c>
      <c r="E65" t="s">
        <v>1130</v>
      </c>
      <c r="F65">
        <v>6262</v>
      </c>
      <c r="G65" t="s">
        <v>347</v>
      </c>
      <c r="H65">
        <v>1010000000</v>
      </c>
      <c r="I65">
        <v>30510000</v>
      </c>
      <c r="J65">
        <f>Cleaned_data[[#This Row],[Volume (24h) USD]]/Cleaned_data[[#This Row],[Circulating_Supply($)]]</f>
        <v>6.1999999999999999E-6</v>
      </c>
      <c r="K65">
        <f>RANK(Cleaned_data[[#This Row],[  Market Cap]],Cleaned_data[ [  Market Cap] ],0)</f>
        <v>63</v>
      </c>
      <c r="L65" t="str">
        <f t="shared" si="10"/>
        <v>0-0.5</v>
      </c>
      <c r="M65">
        <f t="shared" si="12"/>
        <v>3.0040000000000001E-2</v>
      </c>
      <c r="N65" t="str">
        <f t="shared" si="13"/>
        <v>Show</v>
      </c>
      <c r="O65" t="str">
        <f t="shared" si="14"/>
        <v>0-50</v>
      </c>
      <c r="P65">
        <f t="shared" si="15"/>
        <v>3.0040000000000001E-2</v>
      </c>
      <c r="Q65" t="str">
        <f t="shared" si="16"/>
        <v>Up to $10</v>
      </c>
      <c r="R65">
        <f t="shared" si="17"/>
        <v>2.9742574257425745E-2</v>
      </c>
      <c r="S65">
        <f t="shared" si="18"/>
        <v>0</v>
      </c>
      <c r="T65">
        <f t="shared" si="19"/>
        <v>3.0040000000000001E-2</v>
      </c>
      <c r="U65">
        <f t="shared" si="7"/>
        <v>-0.01</v>
      </c>
      <c r="V65">
        <f t="shared" si="20"/>
        <v>3.3333333333333335E-3</v>
      </c>
      <c r="W65" t="str">
        <f t="shared" si="21"/>
        <v>0-0.05</v>
      </c>
    </row>
    <row r="66" spans="1:23">
      <c r="A66" t="s">
        <v>348</v>
      </c>
      <c r="B66" t="s">
        <v>349</v>
      </c>
      <c r="C66" s="6">
        <v>9.2490000000000003E-2</v>
      </c>
      <c r="D66">
        <v>1.0500000000000001E-2</v>
      </c>
      <c r="E66" t="s">
        <v>1131</v>
      </c>
      <c r="F66">
        <v>522065</v>
      </c>
      <c r="G66" t="s">
        <v>353</v>
      </c>
      <c r="H66">
        <v>328210000</v>
      </c>
      <c r="I66">
        <v>30360000</v>
      </c>
      <c r="J66">
        <f>Cleaned_data[[#This Row],[Volume (24h) USD]]/Cleaned_data[[#This Row],[Circulating_Supply($)]]</f>
        <v>1.5906431857652112E-3</v>
      </c>
      <c r="K66">
        <f>RANK(Cleaned_data[[#This Row],[  Market Cap]],Cleaned_data[ [  Market Cap] ],0)</f>
        <v>64</v>
      </c>
      <c r="L66" t="str">
        <f t="shared" si="10"/>
        <v>0-0.5</v>
      </c>
      <c r="M66">
        <f t="shared" ref="M66:M97" si="22">VALUE(C66)</f>
        <v>9.2490000000000003E-2</v>
      </c>
      <c r="N66" t="str">
        <f t="shared" ref="N66:N97" si="23">IF(OR(LEFT(A66,1)="A",LEFT(A66,1)="E",LEFT(A66,1)="I",LEFT(A66,1)="O",LEFT(A66,1)="U",LEFT(A66,1)="B",LEFT(A66,1)="C",LEFT(A66,1)="D"),"Show","Hide")</f>
        <v>Show</v>
      </c>
      <c r="O66" t="str">
        <f t="shared" ref="O66:O97" si="24">IF(C66&lt;=50,"0-50","Above 50")</f>
        <v>0-50</v>
      </c>
      <c r="P66">
        <f t="shared" ref="P66:P97" si="25">C66/(1+D66)</f>
        <v>9.1528946066303823E-2</v>
      </c>
      <c r="Q66" t="str">
        <f t="shared" ref="Q66:Q97" si="26">IF(M66&lt;10,"Up to $10","&gt;= $10")</f>
        <v>Up to $10</v>
      </c>
      <c r="R66">
        <f t="shared" ref="R66:R97" si="27">M66/(1-U66)</f>
        <v>9.1574257425742572E-2</v>
      </c>
      <c r="S66">
        <f t="shared" ref="S66:S97" si="28">D66*7</f>
        <v>7.350000000000001E-2</v>
      </c>
      <c r="T66">
        <f t="shared" ref="T66:T97" si="29" xml:space="preserve"> M66/(1+S66)</f>
        <v>8.615742897065673E-2</v>
      </c>
      <c r="U66">
        <f t="shared" ref="U66:U129" si="30">-0.01</f>
        <v>-0.01</v>
      </c>
      <c r="V66">
        <f t="shared" ref="V66:V97" si="31">ABS(AVERAGE(D66,U66,S66))</f>
        <v>2.466666666666667E-2</v>
      </c>
      <c r="W66" t="str">
        <f t="shared" ref="W66:W97" si="32">IF(M66&lt;=0.05,"0-0.05",
IF(M66&lt;=0.5,"0.05-0.5",
IF(M66&lt;=5,"0.5-5",
IF(M66&lt;=50,"5-50",
"&gt;$50"))))</f>
        <v>0.05-0.5</v>
      </c>
    </row>
    <row r="67" spans="1:23">
      <c r="A67" t="s">
        <v>354</v>
      </c>
      <c r="B67" t="s">
        <v>355</v>
      </c>
      <c r="C67" s="6">
        <v>1.3990000000000001E-2</v>
      </c>
      <c r="D67">
        <v>3.7000000000000002E-3</v>
      </c>
      <c r="E67" t="s">
        <v>1132</v>
      </c>
      <c r="F67">
        <v>1688495</v>
      </c>
      <c r="G67" t="s">
        <v>358</v>
      </c>
      <c r="H67">
        <v>2160000000</v>
      </c>
      <c r="I67">
        <v>30270000</v>
      </c>
      <c r="J67">
        <f>Cleaned_data[[#This Row],[Volume (24h) USD]]/Cleaned_data[[#This Row],[Circulating_Supply($)]]</f>
        <v>7.8171064814814813E-4</v>
      </c>
      <c r="K67">
        <f>RANK(Cleaned_data[[#This Row],[  Market Cap]],Cleaned_data[ [  Market Cap] ],0)</f>
        <v>65</v>
      </c>
      <c r="L67" t="str">
        <f t="shared" ref="L67:L130" si="33">IF(VALUE(C67)&lt;=0.5,"0-0.5",
IF(VALUE(C67)&lt;=1,"0.5-1",
IF(VALUE(C67)&lt;=2,"1-2",
IF(VALUE(C67)&lt;=10,"2-10",
IF(VALUE(C67)&lt;=100,"10-100",
IF(VALUE(C67)&lt;=10000,"100-10000",
"10000+"))))))</f>
        <v>0-0.5</v>
      </c>
      <c r="M67">
        <f t="shared" si="22"/>
        <v>1.3990000000000001E-2</v>
      </c>
      <c r="N67" t="str">
        <f t="shared" si="23"/>
        <v>Hide</v>
      </c>
      <c r="O67" t="str">
        <f t="shared" si="24"/>
        <v>0-50</v>
      </c>
      <c r="P67">
        <f t="shared" si="25"/>
        <v>1.3938427817076816E-2</v>
      </c>
      <c r="Q67" t="str">
        <f t="shared" si="26"/>
        <v>Up to $10</v>
      </c>
      <c r="R67">
        <f t="shared" si="27"/>
        <v>1.3851485148514852E-2</v>
      </c>
      <c r="S67">
        <f t="shared" si="28"/>
        <v>2.5899999999999999E-2</v>
      </c>
      <c r="T67">
        <f t="shared" si="29"/>
        <v>1.3636806706306659E-2</v>
      </c>
      <c r="U67">
        <f t="shared" si="30"/>
        <v>-0.01</v>
      </c>
      <c r="V67">
        <f t="shared" si="31"/>
        <v>6.5333333333333328E-3</v>
      </c>
      <c r="W67" t="str">
        <f t="shared" si="32"/>
        <v>0-0.05</v>
      </c>
    </row>
    <row r="68" spans="1:23">
      <c r="A68" t="s">
        <v>359</v>
      </c>
      <c r="B68" t="s">
        <v>360</v>
      </c>
      <c r="C68" s="6">
        <v>2.4150000000000001E-2</v>
      </c>
      <c r="D68">
        <v>0</v>
      </c>
      <c r="E68" t="s">
        <v>1133</v>
      </c>
      <c r="F68">
        <v>151129</v>
      </c>
      <c r="G68" t="s">
        <v>363</v>
      </c>
      <c r="H68">
        <v>1240000000</v>
      </c>
      <c r="I68">
        <v>30170000</v>
      </c>
      <c r="J68">
        <f>Cleaned_data[[#This Row],[Volume (24h) USD]]/Cleaned_data[[#This Row],[Circulating_Supply($)]]</f>
        <v>1.2187822580645161E-4</v>
      </c>
      <c r="K68">
        <f>RANK(Cleaned_data[[#This Row],[  Market Cap]],Cleaned_data[ [  Market Cap] ],0)</f>
        <v>66</v>
      </c>
      <c r="L68" t="str">
        <f t="shared" si="33"/>
        <v>0-0.5</v>
      </c>
      <c r="M68">
        <f t="shared" si="22"/>
        <v>2.4150000000000001E-2</v>
      </c>
      <c r="N68" t="str">
        <f t="shared" si="23"/>
        <v>Show</v>
      </c>
      <c r="O68" t="str">
        <f t="shared" si="24"/>
        <v>0-50</v>
      </c>
      <c r="P68">
        <f t="shared" si="25"/>
        <v>2.4150000000000001E-2</v>
      </c>
      <c r="Q68" t="str">
        <f t="shared" si="26"/>
        <v>Up to $10</v>
      </c>
      <c r="R68">
        <f t="shared" si="27"/>
        <v>2.3910891089108911E-2</v>
      </c>
      <c r="S68">
        <f t="shared" si="28"/>
        <v>0</v>
      </c>
      <c r="T68">
        <f t="shared" si="29"/>
        <v>2.4150000000000001E-2</v>
      </c>
      <c r="U68">
        <f t="shared" si="30"/>
        <v>-0.01</v>
      </c>
      <c r="V68">
        <f t="shared" si="31"/>
        <v>3.3333333333333335E-3</v>
      </c>
      <c r="W68" t="str">
        <f t="shared" si="32"/>
        <v>0-0.05</v>
      </c>
    </row>
    <row r="69" spans="1:23">
      <c r="A69" t="s">
        <v>364</v>
      </c>
      <c r="B69" t="s">
        <v>365</v>
      </c>
      <c r="C69" s="6">
        <v>72.7</v>
      </c>
      <c r="D69">
        <v>1.4E-3</v>
      </c>
      <c r="E69" t="s">
        <v>1134</v>
      </c>
      <c r="F69">
        <v>3095757</v>
      </c>
      <c r="G69" t="s">
        <v>368</v>
      </c>
      <c r="H69">
        <v>414490</v>
      </c>
      <c r="I69">
        <v>30140000</v>
      </c>
      <c r="J69">
        <f>Cleaned_data[[#This Row],[Volume (24h) USD]]/Cleaned_data[[#This Row],[Circulating_Supply($)]]</f>
        <v>7.4688339887572681</v>
      </c>
      <c r="K69">
        <f>RANK(Cleaned_data[[#This Row],[  Market Cap]],Cleaned_data[ [  Market Cap] ],0)</f>
        <v>67</v>
      </c>
      <c r="L69" t="str">
        <f t="shared" si="33"/>
        <v>10-100</v>
      </c>
      <c r="M69">
        <f t="shared" si="22"/>
        <v>72.7</v>
      </c>
      <c r="N69" t="str">
        <f t="shared" si="23"/>
        <v>Show</v>
      </c>
      <c r="O69" t="str">
        <f t="shared" si="24"/>
        <v>Above 50</v>
      </c>
      <c r="P69">
        <f t="shared" si="25"/>
        <v>72.598362292790085</v>
      </c>
      <c r="Q69" t="str">
        <f t="shared" si="26"/>
        <v>&gt;= $10</v>
      </c>
      <c r="R69">
        <f t="shared" si="27"/>
        <v>71.980198019801989</v>
      </c>
      <c r="S69">
        <f t="shared" si="28"/>
        <v>9.7999999999999997E-3</v>
      </c>
      <c r="T69">
        <f t="shared" si="29"/>
        <v>71.994454347395518</v>
      </c>
      <c r="U69">
        <f t="shared" si="30"/>
        <v>-0.01</v>
      </c>
      <c r="V69">
        <f t="shared" si="31"/>
        <v>3.9999999999999991E-4</v>
      </c>
      <c r="W69" t="str">
        <f t="shared" si="32"/>
        <v>&gt;$50</v>
      </c>
    </row>
    <row r="70" spans="1:23">
      <c r="A70" t="s">
        <v>369</v>
      </c>
      <c r="B70" t="s">
        <v>370</v>
      </c>
      <c r="C70" s="6">
        <v>0.37680000000000002</v>
      </c>
      <c r="D70">
        <v>2.9999999999999997E-4</v>
      </c>
      <c r="E70" t="s">
        <v>1135</v>
      </c>
      <c r="F70">
        <v>8862</v>
      </c>
      <c r="G70" t="s">
        <v>373</v>
      </c>
      <c r="H70">
        <v>79950000</v>
      </c>
      <c r="I70">
        <v>30130000</v>
      </c>
      <c r="J70">
        <f>Cleaned_data[[#This Row],[Volume (24h) USD]]/Cleaned_data[[#This Row],[Circulating_Supply($)]]</f>
        <v>1.1084427767354597E-4</v>
      </c>
      <c r="K70">
        <f>RANK(Cleaned_data[[#This Row],[  Market Cap]],Cleaned_data[ [  Market Cap] ],0)</f>
        <v>68</v>
      </c>
      <c r="L70" t="str">
        <f t="shared" si="33"/>
        <v>0-0.5</v>
      </c>
      <c r="M70">
        <f t="shared" si="22"/>
        <v>0.37680000000000002</v>
      </c>
      <c r="N70" t="str">
        <f t="shared" si="23"/>
        <v>Hide</v>
      </c>
      <c r="O70" t="str">
        <f t="shared" si="24"/>
        <v>0-50</v>
      </c>
      <c r="P70">
        <f t="shared" si="25"/>
        <v>0.37668699390182947</v>
      </c>
      <c r="Q70" t="str">
        <f t="shared" si="26"/>
        <v>Up to $10</v>
      </c>
      <c r="R70">
        <f t="shared" si="27"/>
        <v>0.37306930693069307</v>
      </c>
      <c r="S70">
        <f t="shared" si="28"/>
        <v>2.0999999999999999E-3</v>
      </c>
      <c r="T70">
        <f t="shared" si="29"/>
        <v>0.37601037820576794</v>
      </c>
      <c r="U70">
        <f t="shared" si="30"/>
        <v>-0.01</v>
      </c>
      <c r="V70">
        <f t="shared" si="31"/>
        <v>2.5333333333333336E-3</v>
      </c>
      <c r="W70" t="str">
        <f t="shared" si="32"/>
        <v>0.05-0.5</v>
      </c>
    </row>
    <row r="71" spans="1:23">
      <c r="A71" t="s">
        <v>374</v>
      </c>
      <c r="B71" t="s">
        <v>375</v>
      </c>
      <c r="C71" s="6">
        <v>5.577E-2</v>
      </c>
      <c r="D71">
        <v>1.4E-3</v>
      </c>
      <c r="E71" t="s">
        <v>561</v>
      </c>
      <c r="F71">
        <v>25097317</v>
      </c>
      <c r="G71" t="s">
        <v>378</v>
      </c>
      <c r="H71">
        <v>538940000</v>
      </c>
      <c r="I71">
        <v>30060000</v>
      </c>
      <c r="J71">
        <f>Cleaned_data[[#This Row],[Volume (24h) USD]]/Cleaned_data[[#This Row],[Circulating_Supply($)]]</f>
        <v>4.6567924073180687E-2</v>
      </c>
      <c r="K71">
        <f>RANK(Cleaned_data[[#This Row],[  Market Cap]],Cleaned_data[ [  Market Cap] ],0)</f>
        <v>69</v>
      </c>
      <c r="L71" t="str">
        <f t="shared" si="33"/>
        <v>0-0.5</v>
      </c>
      <c r="M71">
        <f t="shared" si="22"/>
        <v>5.577E-2</v>
      </c>
      <c r="N71" t="str">
        <f t="shared" si="23"/>
        <v>Hide</v>
      </c>
      <c r="O71" t="str">
        <f t="shared" si="24"/>
        <v>0-50</v>
      </c>
      <c r="P71">
        <f t="shared" si="25"/>
        <v>5.5692031156381064E-2</v>
      </c>
      <c r="Q71" t="str">
        <f t="shared" si="26"/>
        <v>Up to $10</v>
      </c>
      <c r="R71">
        <f t="shared" si="27"/>
        <v>5.5217821782178218E-2</v>
      </c>
      <c r="S71">
        <f t="shared" si="28"/>
        <v>9.7999999999999997E-3</v>
      </c>
      <c r="T71">
        <f t="shared" si="29"/>
        <v>5.5228758169934639E-2</v>
      </c>
      <c r="U71">
        <f t="shared" si="30"/>
        <v>-0.01</v>
      </c>
      <c r="V71">
        <f t="shared" si="31"/>
        <v>3.9999999999999991E-4</v>
      </c>
      <c r="W71" t="str">
        <f t="shared" si="32"/>
        <v>0.05-0.5</v>
      </c>
    </row>
    <row r="72" spans="1:23">
      <c r="A72" t="s">
        <v>379</v>
      </c>
      <c r="B72" t="s">
        <v>380</v>
      </c>
      <c r="C72" s="6">
        <v>8.9990000000000001E-2</v>
      </c>
      <c r="D72">
        <v>1E-3</v>
      </c>
      <c r="E72" t="s">
        <v>1136</v>
      </c>
      <c r="F72">
        <v>5008209</v>
      </c>
      <c r="G72" t="s">
        <v>383</v>
      </c>
      <c r="H72">
        <v>268329999.99999997</v>
      </c>
      <c r="I72">
        <v>24150000</v>
      </c>
      <c r="J72">
        <f>Cleaned_data[[#This Row],[Volume (24h) USD]]/Cleaned_data[[#This Row],[Circulating_Supply($)]]</f>
        <v>1.8664364774717699E-2</v>
      </c>
      <c r="K72">
        <f>RANK(Cleaned_data[[#This Row],[  Market Cap]],Cleaned_data[ [  Market Cap] ],0)</f>
        <v>70</v>
      </c>
      <c r="L72" t="str">
        <f t="shared" si="33"/>
        <v>0-0.5</v>
      </c>
      <c r="M72">
        <f t="shared" si="22"/>
        <v>8.9990000000000001E-2</v>
      </c>
      <c r="N72" t="str">
        <f t="shared" si="23"/>
        <v>Hide</v>
      </c>
      <c r="O72" t="str">
        <f t="shared" si="24"/>
        <v>0-50</v>
      </c>
      <c r="P72">
        <f t="shared" si="25"/>
        <v>8.9900099900099908E-2</v>
      </c>
      <c r="Q72" t="str">
        <f t="shared" si="26"/>
        <v>Up to $10</v>
      </c>
      <c r="R72">
        <f t="shared" si="27"/>
        <v>8.9099009900990095E-2</v>
      </c>
      <c r="S72">
        <f t="shared" si="28"/>
        <v>7.0000000000000001E-3</v>
      </c>
      <c r="T72">
        <f t="shared" si="29"/>
        <v>8.936444885799405E-2</v>
      </c>
      <c r="U72">
        <f t="shared" si="30"/>
        <v>-0.01</v>
      </c>
      <c r="V72">
        <f t="shared" si="31"/>
        <v>6.6666666666666697E-4</v>
      </c>
      <c r="W72" t="str">
        <f t="shared" si="32"/>
        <v>0.05-0.5</v>
      </c>
    </row>
    <row r="73" spans="1:23">
      <c r="A73" t="s">
        <v>384</v>
      </c>
      <c r="B73" t="s">
        <v>385</v>
      </c>
      <c r="C73" s="6">
        <v>4.4650000000000002E-2</v>
      </c>
      <c r="D73">
        <v>3.1300000000000001E-2</v>
      </c>
      <c r="E73" t="s">
        <v>1137</v>
      </c>
      <c r="F73">
        <v>8545079</v>
      </c>
      <c r="G73" t="s">
        <v>389</v>
      </c>
      <c r="H73">
        <v>537000000</v>
      </c>
      <c r="I73">
        <v>23980000</v>
      </c>
      <c r="J73">
        <f>Cleaned_data[[#This Row],[Volume (24h) USD]]/Cleaned_data[[#This Row],[Circulating_Supply($)]]</f>
        <v>1.591262383612663E-2</v>
      </c>
      <c r="K73">
        <f>RANK(Cleaned_data[[#This Row],[  Market Cap]],Cleaned_data[ [  Market Cap] ],0)</f>
        <v>71</v>
      </c>
      <c r="L73" t="str">
        <f t="shared" si="33"/>
        <v>0-0.5</v>
      </c>
      <c r="M73">
        <f t="shared" si="22"/>
        <v>4.4650000000000002E-2</v>
      </c>
      <c r="N73" t="str">
        <f t="shared" si="23"/>
        <v>Show</v>
      </c>
      <c r="O73" t="str">
        <f t="shared" si="24"/>
        <v>0-50</v>
      </c>
      <c r="P73">
        <f t="shared" si="25"/>
        <v>4.329487055173082E-2</v>
      </c>
      <c r="Q73" t="str">
        <f t="shared" si="26"/>
        <v>Up to $10</v>
      </c>
      <c r="R73">
        <f t="shared" si="27"/>
        <v>4.4207920792079212E-2</v>
      </c>
      <c r="S73">
        <f t="shared" si="28"/>
        <v>0.21910000000000002</v>
      </c>
      <c r="T73">
        <f t="shared" si="29"/>
        <v>3.6625379378229843E-2</v>
      </c>
      <c r="U73">
        <f t="shared" si="30"/>
        <v>-0.01</v>
      </c>
      <c r="V73">
        <f t="shared" si="31"/>
        <v>8.0133333333333334E-2</v>
      </c>
      <c r="W73" t="str">
        <f t="shared" si="32"/>
        <v>0-0.05</v>
      </c>
    </row>
    <row r="74" spans="1:23">
      <c r="A74" t="s">
        <v>390</v>
      </c>
      <c r="B74" t="s">
        <v>391</v>
      </c>
      <c r="C74" s="6">
        <v>0.16589999999999999</v>
      </c>
      <c r="D74">
        <v>2.8899999999999999E-2</v>
      </c>
      <c r="E74" t="s">
        <v>1138</v>
      </c>
      <c r="F74">
        <v>6562097</v>
      </c>
      <c r="G74" t="s">
        <v>395</v>
      </c>
      <c r="H74">
        <v>144270000</v>
      </c>
      <c r="I74">
        <v>23940000</v>
      </c>
      <c r="J74">
        <f>Cleaned_data[[#This Row],[Volume (24h) USD]]/Cleaned_data[[#This Row],[Circulating_Supply($)]]</f>
        <v>4.5484833991820892E-2</v>
      </c>
      <c r="K74">
        <f>RANK(Cleaned_data[[#This Row],[  Market Cap]],Cleaned_data[ [  Market Cap] ],0)</f>
        <v>72</v>
      </c>
      <c r="L74" t="str">
        <f t="shared" si="33"/>
        <v>0-0.5</v>
      </c>
      <c r="M74">
        <f t="shared" si="22"/>
        <v>0.16589999999999999</v>
      </c>
      <c r="N74" t="str">
        <f t="shared" si="23"/>
        <v>Show</v>
      </c>
      <c r="O74" t="str">
        <f t="shared" si="24"/>
        <v>0-50</v>
      </c>
      <c r="P74">
        <f t="shared" si="25"/>
        <v>0.16124015939352707</v>
      </c>
      <c r="Q74" t="str">
        <f t="shared" si="26"/>
        <v>Up to $10</v>
      </c>
      <c r="R74">
        <f t="shared" si="27"/>
        <v>0.16425742574257424</v>
      </c>
      <c r="S74">
        <f t="shared" si="28"/>
        <v>0.20229999999999998</v>
      </c>
      <c r="T74">
        <f t="shared" si="29"/>
        <v>0.1379855277385012</v>
      </c>
      <c r="U74">
        <f t="shared" si="30"/>
        <v>-0.01</v>
      </c>
      <c r="V74">
        <f t="shared" si="31"/>
        <v>7.3733333333333331E-2</v>
      </c>
      <c r="W74" t="str">
        <f t="shared" si="32"/>
        <v>0.05-0.5</v>
      </c>
    </row>
    <row r="75" spans="1:23">
      <c r="A75" t="s">
        <v>396</v>
      </c>
      <c r="B75" t="s">
        <v>397</v>
      </c>
      <c r="C75" s="6">
        <v>2.4510000000000001E-2</v>
      </c>
      <c r="D75">
        <v>1E-4</v>
      </c>
      <c r="E75" t="s">
        <v>1139</v>
      </c>
      <c r="F75">
        <v>212975</v>
      </c>
      <c r="G75" t="s">
        <v>400</v>
      </c>
      <c r="H75">
        <v>975550000</v>
      </c>
      <c r="I75">
        <v>23920000</v>
      </c>
      <c r="J75">
        <f>Cleaned_data[[#This Row],[Volume (24h) USD]]/Cleaned_data[[#This Row],[Circulating_Supply($)]]</f>
        <v>2.1831274665573265E-4</v>
      </c>
      <c r="K75">
        <f>RANK(Cleaned_data[[#This Row],[  Market Cap]],Cleaned_data[ [  Market Cap] ],0)</f>
        <v>73</v>
      </c>
      <c r="L75" t="str">
        <f t="shared" si="33"/>
        <v>0-0.5</v>
      </c>
      <c r="M75">
        <f t="shared" si="22"/>
        <v>2.4510000000000001E-2</v>
      </c>
      <c r="N75" t="str">
        <f t="shared" si="23"/>
        <v>Hide</v>
      </c>
      <c r="O75" t="str">
        <f t="shared" si="24"/>
        <v>0-50</v>
      </c>
      <c r="P75">
        <f t="shared" si="25"/>
        <v>2.4507549245075495E-2</v>
      </c>
      <c r="Q75" t="str">
        <f t="shared" si="26"/>
        <v>Up to $10</v>
      </c>
      <c r="R75">
        <f t="shared" si="27"/>
        <v>2.4267326732673268E-2</v>
      </c>
      <c r="S75">
        <f t="shared" si="28"/>
        <v>6.9999999999999999E-4</v>
      </c>
      <c r="T75">
        <f t="shared" si="29"/>
        <v>2.4492855001498955E-2</v>
      </c>
      <c r="U75">
        <f t="shared" si="30"/>
        <v>-0.01</v>
      </c>
      <c r="V75">
        <f t="shared" si="31"/>
        <v>3.0666666666666672E-3</v>
      </c>
      <c r="W75" t="str">
        <f t="shared" si="32"/>
        <v>0-0.05</v>
      </c>
    </row>
    <row r="76" spans="1:23">
      <c r="A76" t="s">
        <v>401</v>
      </c>
      <c r="B76" t="s">
        <v>402</v>
      </c>
      <c r="C76" s="6">
        <v>8.226E-2</v>
      </c>
      <c r="D76">
        <v>5.1999999999999998E-3</v>
      </c>
      <c r="E76" t="s">
        <v>1140</v>
      </c>
      <c r="F76">
        <v>6936081</v>
      </c>
      <c r="G76" t="s">
        <v>406</v>
      </c>
      <c r="H76">
        <v>290640000</v>
      </c>
      <c r="I76">
        <v>23910000</v>
      </c>
      <c r="J76">
        <f>Cleaned_data[[#This Row],[Volume (24h) USD]]/Cleaned_data[[#This Row],[Circulating_Supply($)]]</f>
        <v>2.3864853426919901E-2</v>
      </c>
      <c r="K76">
        <f>RANK(Cleaned_data[[#This Row],[  Market Cap]],Cleaned_data[ [  Market Cap] ],0)</f>
        <v>74</v>
      </c>
      <c r="L76" t="str">
        <f t="shared" si="33"/>
        <v>0-0.5</v>
      </c>
      <c r="M76">
        <f t="shared" si="22"/>
        <v>8.226E-2</v>
      </c>
      <c r="N76" t="str">
        <f t="shared" si="23"/>
        <v>Show</v>
      </c>
      <c r="O76" t="str">
        <f t="shared" si="24"/>
        <v>0-50</v>
      </c>
      <c r="P76">
        <f t="shared" si="25"/>
        <v>8.1834460803820133E-2</v>
      </c>
      <c r="Q76" t="str">
        <f t="shared" si="26"/>
        <v>Up to $10</v>
      </c>
      <c r="R76">
        <f t="shared" si="27"/>
        <v>8.1445544554455448E-2</v>
      </c>
      <c r="S76">
        <f t="shared" si="28"/>
        <v>3.6400000000000002E-2</v>
      </c>
      <c r="T76">
        <f t="shared" si="29"/>
        <v>7.9370899266692399E-2</v>
      </c>
      <c r="U76">
        <f t="shared" si="30"/>
        <v>-0.01</v>
      </c>
      <c r="V76">
        <f t="shared" si="31"/>
        <v>1.0533333333333334E-2</v>
      </c>
      <c r="W76" t="str">
        <f t="shared" si="32"/>
        <v>0.05-0.5</v>
      </c>
    </row>
    <row r="77" spans="1:23">
      <c r="A77" t="s">
        <v>407</v>
      </c>
      <c r="B77" t="s">
        <v>408</v>
      </c>
      <c r="C77" s="6">
        <v>0.10340000000000001</v>
      </c>
      <c r="D77">
        <v>3.0999999999999999E-3</v>
      </c>
      <c r="E77" t="s">
        <v>1141</v>
      </c>
      <c r="F77">
        <v>901419</v>
      </c>
      <c r="G77" t="s">
        <v>411</v>
      </c>
      <c r="H77">
        <v>230250000</v>
      </c>
      <c r="I77">
        <v>23820000</v>
      </c>
      <c r="J77">
        <f>Cleaned_data[[#This Row],[Volume (24h) USD]]/Cleaned_data[[#This Row],[Circulating_Supply($)]]</f>
        <v>3.9149576547231274E-3</v>
      </c>
      <c r="K77">
        <f>RANK(Cleaned_data[[#This Row],[  Market Cap]],Cleaned_data[ [  Market Cap] ],0)</f>
        <v>75</v>
      </c>
      <c r="L77" t="str">
        <f t="shared" si="33"/>
        <v>0-0.5</v>
      </c>
      <c r="M77">
        <f t="shared" si="22"/>
        <v>0.10340000000000001</v>
      </c>
      <c r="N77" t="str">
        <f t="shared" si="23"/>
        <v>Show</v>
      </c>
      <c r="O77" t="str">
        <f t="shared" si="24"/>
        <v>0-50</v>
      </c>
      <c r="P77">
        <f t="shared" si="25"/>
        <v>0.10308045060313029</v>
      </c>
      <c r="Q77" t="str">
        <f t="shared" si="26"/>
        <v>Up to $10</v>
      </c>
      <c r="R77">
        <f t="shared" si="27"/>
        <v>0.10237623762376238</v>
      </c>
      <c r="S77">
        <f t="shared" si="28"/>
        <v>2.1700000000000001E-2</v>
      </c>
      <c r="T77">
        <f t="shared" si="29"/>
        <v>0.10120387589311931</v>
      </c>
      <c r="U77">
        <f t="shared" si="30"/>
        <v>-0.01</v>
      </c>
      <c r="V77">
        <f t="shared" si="31"/>
        <v>4.9333333333333338E-3</v>
      </c>
      <c r="W77" t="str">
        <f t="shared" si="32"/>
        <v>0.05-0.5</v>
      </c>
    </row>
    <row r="78" spans="1:23">
      <c r="A78" t="s">
        <v>412</v>
      </c>
      <c r="B78" t="s">
        <v>413</v>
      </c>
      <c r="C78" s="6">
        <v>9.5010000000000008E-3</v>
      </c>
      <c r="D78">
        <v>3.2000000000000002E-3</v>
      </c>
      <c r="E78" t="s">
        <v>1142</v>
      </c>
      <c r="F78">
        <v>3276003</v>
      </c>
      <c r="G78" t="s">
        <v>416</v>
      </c>
      <c r="H78">
        <v>2500000000</v>
      </c>
      <c r="I78">
        <v>23750000</v>
      </c>
      <c r="J78">
        <f>Cleaned_data[[#This Row],[Volume (24h) USD]]/Cleaned_data[[#This Row],[Circulating_Supply($)]]</f>
        <v>1.3104012E-3</v>
      </c>
      <c r="K78">
        <f>RANK(Cleaned_data[[#This Row],[  Market Cap]],Cleaned_data[ [  Market Cap] ],0)</f>
        <v>76</v>
      </c>
      <c r="L78" t="str">
        <f t="shared" si="33"/>
        <v>0-0.5</v>
      </c>
      <c r="M78">
        <f t="shared" si="22"/>
        <v>9.5010000000000008E-3</v>
      </c>
      <c r="N78" t="str">
        <f t="shared" si="23"/>
        <v>Show</v>
      </c>
      <c r="O78" t="str">
        <f t="shared" si="24"/>
        <v>0-50</v>
      </c>
      <c r="P78">
        <f t="shared" si="25"/>
        <v>9.4706937799043066E-3</v>
      </c>
      <c r="Q78" t="str">
        <f t="shared" si="26"/>
        <v>Up to $10</v>
      </c>
      <c r="R78">
        <f t="shared" si="27"/>
        <v>9.4069306930693077E-3</v>
      </c>
      <c r="S78">
        <f t="shared" si="28"/>
        <v>2.24E-2</v>
      </c>
      <c r="T78">
        <f t="shared" si="29"/>
        <v>9.2928403755868551E-3</v>
      </c>
      <c r="U78">
        <f t="shared" si="30"/>
        <v>-0.01</v>
      </c>
      <c r="V78">
        <f t="shared" si="31"/>
        <v>5.1999999999999998E-3</v>
      </c>
      <c r="W78" t="str">
        <f t="shared" si="32"/>
        <v>0-0.05</v>
      </c>
    </row>
    <row r="79" spans="1:23">
      <c r="A79" t="s">
        <v>417</v>
      </c>
      <c r="B79" t="s">
        <v>418</v>
      </c>
      <c r="C79" s="6">
        <v>3.2829999999999999E-3</v>
      </c>
      <c r="D79">
        <v>1.5E-3</v>
      </c>
      <c r="E79" t="s">
        <v>1142</v>
      </c>
      <c r="F79">
        <v>1504867</v>
      </c>
      <c r="G79" t="s">
        <v>421</v>
      </c>
      <c r="H79">
        <v>7230000000</v>
      </c>
      <c r="I79">
        <v>23750000</v>
      </c>
      <c r="J79">
        <f>Cleaned_data[[#This Row],[Volume (24h) USD]]/Cleaned_data[[#This Row],[Circulating_Supply($)]]</f>
        <v>2.0814204702627938E-4</v>
      </c>
      <c r="K79">
        <f>RANK(Cleaned_data[[#This Row],[  Market Cap]],Cleaned_data[ [  Market Cap] ],0)</f>
        <v>76</v>
      </c>
      <c r="L79" t="str">
        <f t="shared" si="33"/>
        <v>0-0.5</v>
      </c>
      <c r="M79">
        <f t="shared" si="22"/>
        <v>3.2829999999999999E-3</v>
      </c>
      <c r="N79" t="str">
        <f t="shared" si="23"/>
        <v>Hide</v>
      </c>
      <c r="O79" t="str">
        <f t="shared" si="24"/>
        <v>0-50</v>
      </c>
      <c r="P79">
        <f t="shared" si="25"/>
        <v>3.2780828756864698E-3</v>
      </c>
      <c r="Q79" t="str">
        <f t="shared" si="26"/>
        <v>Up to $10</v>
      </c>
      <c r="R79">
        <f t="shared" si="27"/>
        <v>3.2504950495049504E-3</v>
      </c>
      <c r="S79">
        <f t="shared" si="28"/>
        <v>1.0500000000000001E-2</v>
      </c>
      <c r="T79">
        <f t="shared" si="29"/>
        <v>3.2488866897575457E-3</v>
      </c>
      <c r="U79">
        <f t="shared" si="30"/>
        <v>-0.01</v>
      </c>
      <c r="V79">
        <f t="shared" si="31"/>
        <v>6.6666666666666664E-4</v>
      </c>
      <c r="W79" t="str">
        <f t="shared" si="32"/>
        <v>0-0.05</v>
      </c>
    </row>
    <row r="80" spans="1:23">
      <c r="A80" t="s">
        <v>422</v>
      </c>
      <c r="B80" t="s">
        <v>423</v>
      </c>
      <c r="C80" s="6">
        <v>3.039E-3</v>
      </c>
      <c r="D80">
        <v>1E-4</v>
      </c>
      <c r="E80" t="s">
        <v>1143</v>
      </c>
      <c r="F80">
        <v>3982328</v>
      </c>
      <c r="G80" t="s">
        <v>426</v>
      </c>
      <c r="H80">
        <v>7800000000</v>
      </c>
      <c r="I80">
        <v>23720000</v>
      </c>
      <c r="J80">
        <f>Cleaned_data[[#This Row],[Volume (24h) USD]]/Cleaned_data[[#This Row],[Circulating_Supply($)]]</f>
        <v>5.1055487179487184E-4</v>
      </c>
      <c r="K80">
        <f>RANK(Cleaned_data[[#This Row],[  Market Cap]],Cleaned_data[ [  Market Cap] ],0)</f>
        <v>78</v>
      </c>
      <c r="L80" t="str">
        <f t="shared" si="33"/>
        <v>0-0.5</v>
      </c>
      <c r="M80">
        <f t="shared" si="22"/>
        <v>3.039E-3</v>
      </c>
      <c r="N80" t="str">
        <f t="shared" si="23"/>
        <v>Show</v>
      </c>
      <c r="O80" t="str">
        <f t="shared" si="24"/>
        <v>0-50</v>
      </c>
      <c r="P80">
        <f t="shared" si="25"/>
        <v>3.0386961303869612E-3</v>
      </c>
      <c r="Q80" t="str">
        <f t="shared" si="26"/>
        <v>Up to $10</v>
      </c>
      <c r="R80">
        <f t="shared" si="27"/>
        <v>3.0089108910891088E-3</v>
      </c>
      <c r="S80">
        <f t="shared" si="28"/>
        <v>6.9999999999999999E-4</v>
      </c>
      <c r="T80">
        <f t="shared" si="29"/>
        <v>3.0368741880683523E-3</v>
      </c>
      <c r="U80">
        <f t="shared" si="30"/>
        <v>-0.01</v>
      </c>
      <c r="V80">
        <f t="shared" si="31"/>
        <v>3.0666666666666672E-3</v>
      </c>
      <c r="W80" t="str">
        <f t="shared" si="32"/>
        <v>0-0.05</v>
      </c>
    </row>
    <row r="81" spans="1:23">
      <c r="A81" t="s">
        <v>427</v>
      </c>
      <c r="B81" t="s">
        <v>428</v>
      </c>
      <c r="C81" s="6">
        <v>0.72040000000000004</v>
      </c>
      <c r="D81">
        <v>1.6000000000000001E-3</v>
      </c>
      <c r="E81" t="s">
        <v>1144</v>
      </c>
      <c r="F81">
        <v>43268</v>
      </c>
      <c r="G81" t="s">
        <v>432</v>
      </c>
      <c r="H81">
        <v>32869999.999999996</v>
      </c>
      <c r="I81">
        <v>23680000</v>
      </c>
      <c r="J81">
        <f>Cleaned_data[[#This Row],[Volume (24h) USD]]/Cleaned_data[[#This Row],[Circulating_Supply($)]]</f>
        <v>1.3163370854882873E-3</v>
      </c>
      <c r="K81">
        <f>RANK(Cleaned_data[[#This Row],[  Market Cap]],Cleaned_data[ [  Market Cap] ],0)</f>
        <v>79</v>
      </c>
      <c r="L81" t="str">
        <f t="shared" si="33"/>
        <v>0.5-1</v>
      </c>
      <c r="M81">
        <f t="shared" si="22"/>
        <v>0.72040000000000004</v>
      </c>
      <c r="N81" t="str">
        <f t="shared" si="23"/>
        <v>Hide</v>
      </c>
      <c r="O81" t="str">
        <f t="shared" si="24"/>
        <v>0-50</v>
      </c>
      <c r="P81">
        <f t="shared" si="25"/>
        <v>0.71924920127795533</v>
      </c>
      <c r="Q81" t="str">
        <f t="shared" si="26"/>
        <v>Up to $10</v>
      </c>
      <c r="R81">
        <f t="shared" si="27"/>
        <v>0.71326732673267335</v>
      </c>
      <c r="S81">
        <f t="shared" si="28"/>
        <v>1.12E-2</v>
      </c>
      <c r="T81">
        <f t="shared" si="29"/>
        <v>0.71242088607594933</v>
      </c>
      <c r="U81">
        <f t="shared" si="30"/>
        <v>-0.01</v>
      </c>
      <c r="V81">
        <f t="shared" si="31"/>
        <v>9.3333333333333343E-4</v>
      </c>
      <c r="W81" t="str">
        <f t="shared" si="32"/>
        <v>0.5-5</v>
      </c>
    </row>
    <row r="82" spans="1:23">
      <c r="A82" t="s">
        <v>433</v>
      </c>
      <c r="B82" t="s">
        <v>434</v>
      </c>
      <c r="C82" s="6">
        <v>0.1961</v>
      </c>
      <c r="D82">
        <v>1.9E-3</v>
      </c>
      <c r="E82" t="s">
        <v>1145</v>
      </c>
      <c r="F82">
        <v>1005056</v>
      </c>
      <c r="G82" t="s">
        <v>438</v>
      </c>
      <c r="H82">
        <v>92700000</v>
      </c>
      <c r="I82">
        <v>18180000</v>
      </c>
      <c r="J82">
        <f>Cleaned_data[[#This Row],[Volume (24h) USD]]/Cleaned_data[[#This Row],[Circulating_Supply($)]]</f>
        <v>1.084202804746494E-2</v>
      </c>
      <c r="K82">
        <f>RANK(Cleaned_data[[#This Row],[  Market Cap]],Cleaned_data[ [  Market Cap] ],0)</f>
        <v>80</v>
      </c>
      <c r="L82" t="str">
        <f t="shared" si="33"/>
        <v>0-0.5</v>
      </c>
      <c r="M82">
        <f t="shared" si="22"/>
        <v>0.1961</v>
      </c>
      <c r="N82" t="str">
        <f t="shared" si="23"/>
        <v>Show</v>
      </c>
      <c r="O82" t="str">
        <f t="shared" si="24"/>
        <v>0-50</v>
      </c>
      <c r="P82">
        <f t="shared" si="25"/>
        <v>0.19572811657850084</v>
      </c>
      <c r="Q82" t="str">
        <f t="shared" si="26"/>
        <v>Up to $10</v>
      </c>
      <c r="R82">
        <f t="shared" si="27"/>
        <v>0.19415841584158416</v>
      </c>
      <c r="S82">
        <f t="shared" si="28"/>
        <v>1.3299999999999999E-2</v>
      </c>
      <c r="T82">
        <f t="shared" si="29"/>
        <v>0.19352610283232999</v>
      </c>
      <c r="U82">
        <f t="shared" si="30"/>
        <v>-0.01</v>
      </c>
      <c r="V82">
        <f t="shared" si="31"/>
        <v>1.7333333333333333E-3</v>
      </c>
      <c r="W82" t="str">
        <f t="shared" si="32"/>
        <v>0.05-0.5</v>
      </c>
    </row>
    <row r="83" spans="1:23">
      <c r="A83" t="s">
        <v>439</v>
      </c>
      <c r="B83" t="s">
        <v>440</v>
      </c>
      <c r="C83" s="6">
        <v>1.18</v>
      </c>
      <c r="D83">
        <v>1.6500000000000001E-2</v>
      </c>
      <c r="E83" t="s">
        <v>1146</v>
      </c>
      <c r="F83">
        <v>40433535</v>
      </c>
      <c r="G83" t="s">
        <v>444</v>
      </c>
      <c r="H83">
        <v>15280000</v>
      </c>
      <c r="I83">
        <v>18140000</v>
      </c>
      <c r="J83">
        <f>Cleaned_data[[#This Row],[Volume (24h) USD]]/Cleaned_data[[#This Row],[Circulating_Supply($)]]</f>
        <v>2.6461737565445027</v>
      </c>
      <c r="K83">
        <f>RANK(Cleaned_data[[#This Row],[  Market Cap]],Cleaned_data[ [  Market Cap] ],0)</f>
        <v>81</v>
      </c>
      <c r="L83" t="str">
        <f t="shared" si="33"/>
        <v>1-2</v>
      </c>
      <c r="M83">
        <f t="shared" si="22"/>
        <v>1.18</v>
      </c>
      <c r="N83" t="str">
        <f t="shared" si="23"/>
        <v>Hide</v>
      </c>
      <c r="O83" t="str">
        <f t="shared" si="24"/>
        <v>0-50</v>
      </c>
      <c r="P83">
        <f t="shared" si="25"/>
        <v>1.1608460403344811</v>
      </c>
      <c r="Q83" t="str">
        <f t="shared" si="26"/>
        <v>Up to $10</v>
      </c>
      <c r="R83">
        <f t="shared" si="27"/>
        <v>1.1683168316831682</v>
      </c>
      <c r="S83">
        <f t="shared" si="28"/>
        <v>0.11550000000000001</v>
      </c>
      <c r="T83">
        <f t="shared" si="29"/>
        <v>1.0578216046615867</v>
      </c>
      <c r="U83">
        <f t="shared" si="30"/>
        <v>-0.01</v>
      </c>
      <c r="V83">
        <f t="shared" si="31"/>
        <v>4.066666666666667E-2</v>
      </c>
      <c r="W83" t="str">
        <f t="shared" si="32"/>
        <v>0.5-5</v>
      </c>
    </row>
    <row r="84" spans="1:23">
      <c r="A84" t="s">
        <v>445</v>
      </c>
      <c r="B84" t="s">
        <v>446</v>
      </c>
      <c r="C84" s="6">
        <v>1.4749999999999999E-2</v>
      </c>
      <c r="D84">
        <v>1.8E-3</v>
      </c>
      <c r="E84" t="s">
        <v>1147</v>
      </c>
      <c r="F84">
        <v>4471482</v>
      </c>
      <c r="G84" t="s">
        <v>449</v>
      </c>
      <c r="H84">
        <v>1220000000</v>
      </c>
      <c r="I84">
        <v>18120000</v>
      </c>
      <c r="J84">
        <f>Cleaned_data[[#This Row],[Volume (24h) USD]]/Cleaned_data[[#This Row],[Circulating_Supply($)]]</f>
        <v>3.6651491803278689E-3</v>
      </c>
      <c r="K84">
        <f>RANK(Cleaned_data[[#This Row],[  Market Cap]],Cleaned_data[ [  Market Cap] ],0)</f>
        <v>82</v>
      </c>
      <c r="L84" t="str">
        <f t="shared" si="33"/>
        <v>0-0.5</v>
      </c>
      <c r="M84">
        <f t="shared" si="22"/>
        <v>1.4749999999999999E-2</v>
      </c>
      <c r="N84" t="str">
        <f t="shared" si="23"/>
        <v>Show</v>
      </c>
      <c r="O84" t="str">
        <f t="shared" si="24"/>
        <v>0-50</v>
      </c>
      <c r="P84">
        <f t="shared" si="25"/>
        <v>1.472349770413256E-2</v>
      </c>
      <c r="Q84" t="str">
        <f t="shared" si="26"/>
        <v>Up to $10</v>
      </c>
      <c r="R84">
        <f t="shared" si="27"/>
        <v>1.4603960396039603E-2</v>
      </c>
      <c r="S84">
        <f t="shared" si="28"/>
        <v>1.26E-2</v>
      </c>
      <c r="T84">
        <f t="shared" si="29"/>
        <v>1.4566462571597867E-2</v>
      </c>
      <c r="U84">
        <f t="shared" si="30"/>
        <v>-0.01</v>
      </c>
      <c r="V84">
        <f t="shared" si="31"/>
        <v>1.4666666666666665E-3</v>
      </c>
      <c r="W84" t="str">
        <f t="shared" si="32"/>
        <v>0-0.05</v>
      </c>
    </row>
    <row r="85" spans="1:23">
      <c r="A85" t="s">
        <v>450</v>
      </c>
      <c r="B85" t="s">
        <v>451</v>
      </c>
      <c r="C85" s="6">
        <v>8.4150000000000003E-2</v>
      </c>
      <c r="D85">
        <v>9.1000000000000004E-3</v>
      </c>
      <c r="E85" t="s">
        <v>1148</v>
      </c>
      <c r="F85">
        <v>8197930</v>
      </c>
      <c r="G85" t="s">
        <v>455</v>
      </c>
      <c r="H85">
        <v>215000000</v>
      </c>
      <c r="I85">
        <v>18090000</v>
      </c>
      <c r="J85">
        <f>Cleaned_data[[#This Row],[Volume (24h) USD]]/Cleaned_data[[#This Row],[Circulating_Supply($)]]</f>
        <v>3.8129906976744184E-2</v>
      </c>
      <c r="K85">
        <f>RANK(Cleaned_data[[#This Row],[  Market Cap]],Cleaned_data[ [  Market Cap] ],0)</f>
        <v>83</v>
      </c>
      <c r="L85" t="str">
        <f t="shared" si="33"/>
        <v>0-0.5</v>
      </c>
      <c r="M85">
        <f t="shared" si="22"/>
        <v>8.4150000000000003E-2</v>
      </c>
      <c r="N85" t="str">
        <f t="shared" si="23"/>
        <v>Hide</v>
      </c>
      <c r="O85" t="str">
        <f t="shared" si="24"/>
        <v>0-50</v>
      </c>
      <c r="P85">
        <f t="shared" si="25"/>
        <v>8.339114062035477E-2</v>
      </c>
      <c r="Q85" t="str">
        <f t="shared" si="26"/>
        <v>Up to $10</v>
      </c>
      <c r="R85">
        <f t="shared" si="27"/>
        <v>8.3316831683168321E-2</v>
      </c>
      <c r="S85">
        <f t="shared" si="28"/>
        <v>6.3700000000000007E-2</v>
      </c>
      <c r="T85">
        <f t="shared" si="29"/>
        <v>7.9110651499482931E-2</v>
      </c>
      <c r="U85">
        <f t="shared" si="30"/>
        <v>-0.01</v>
      </c>
      <c r="V85">
        <f t="shared" si="31"/>
        <v>2.0933333333333335E-2</v>
      </c>
      <c r="W85" t="str">
        <f t="shared" si="32"/>
        <v>0.05-0.5</v>
      </c>
    </row>
    <row r="86" spans="1:23">
      <c r="A86" t="s">
        <v>456</v>
      </c>
      <c r="B86" t="s">
        <v>457</v>
      </c>
      <c r="C86" s="6">
        <v>8.6059999999999998E-2</v>
      </c>
      <c r="D86">
        <v>3.3E-3</v>
      </c>
      <c r="E86" t="s">
        <v>1149</v>
      </c>
      <c r="F86">
        <v>1345010</v>
      </c>
      <c r="G86" t="s">
        <v>461</v>
      </c>
      <c r="H86">
        <v>210000000</v>
      </c>
      <c r="I86">
        <v>18070000</v>
      </c>
      <c r="J86">
        <f>Cleaned_data[[#This Row],[Volume (24h) USD]]/Cleaned_data[[#This Row],[Circulating_Supply($)]]</f>
        <v>6.4048095238095236E-3</v>
      </c>
      <c r="K86">
        <f>RANK(Cleaned_data[[#This Row],[  Market Cap]],Cleaned_data[ [  Market Cap] ],0)</f>
        <v>84</v>
      </c>
      <c r="L86" t="str">
        <f t="shared" si="33"/>
        <v>0-0.5</v>
      </c>
      <c r="M86">
        <f t="shared" si="22"/>
        <v>8.6059999999999998E-2</v>
      </c>
      <c r="N86" t="str">
        <f t="shared" si="23"/>
        <v>Hide</v>
      </c>
      <c r="O86" t="str">
        <f t="shared" si="24"/>
        <v>0-50</v>
      </c>
      <c r="P86">
        <f t="shared" si="25"/>
        <v>8.5776936110834243E-2</v>
      </c>
      <c r="Q86" t="str">
        <f t="shared" si="26"/>
        <v>Up to $10</v>
      </c>
      <c r="R86">
        <f t="shared" si="27"/>
        <v>8.52079207920792E-2</v>
      </c>
      <c r="S86">
        <f t="shared" si="28"/>
        <v>2.3099999999999999E-2</v>
      </c>
      <c r="T86">
        <f t="shared" si="29"/>
        <v>8.4116899618805599E-2</v>
      </c>
      <c r="U86">
        <f t="shared" si="30"/>
        <v>-0.01</v>
      </c>
      <c r="V86">
        <f t="shared" si="31"/>
        <v>5.4666666666666657E-3</v>
      </c>
      <c r="W86" t="str">
        <f t="shared" si="32"/>
        <v>0.05-0.5</v>
      </c>
    </row>
    <row r="87" spans="1:23">
      <c r="A87" t="s">
        <v>462</v>
      </c>
      <c r="B87" t="s">
        <v>463</v>
      </c>
      <c r="C87" s="6">
        <v>0.1694</v>
      </c>
      <c r="D87">
        <v>0.1172</v>
      </c>
      <c r="E87" t="s">
        <v>1150</v>
      </c>
      <c r="F87">
        <v>7861945</v>
      </c>
      <c r="G87" t="s">
        <v>467</v>
      </c>
      <c r="H87">
        <v>106620000</v>
      </c>
      <c r="I87">
        <v>18060000</v>
      </c>
      <c r="J87">
        <f>Cleaned_data[[#This Row],[Volume (24h) USD]]/Cleaned_data[[#This Row],[Circulating_Supply($)]]</f>
        <v>7.3737994747702124E-2</v>
      </c>
      <c r="K87">
        <f>RANK(Cleaned_data[[#This Row],[  Market Cap]],Cleaned_data[ [  Market Cap] ],0)</f>
        <v>85</v>
      </c>
      <c r="L87" t="str">
        <f t="shared" si="33"/>
        <v>0-0.5</v>
      </c>
      <c r="M87">
        <f t="shared" si="22"/>
        <v>0.1694</v>
      </c>
      <c r="N87" t="str">
        <f t="shared" si="23"/>
        <v>Hide</v>
      </c>
      <c r="O87" t="str">
        <f t="shared" si="24"/>
        <v>0-50</v>
      </c>
      <c r="P87">
        <f t="shared" si="25"/>
        <v>0.15162907268170425</v>
      </c>
      <c r="Q87" t="str">
        <f t="shared" si="26"/>
        <v>Up to $10</v>
      </c>
      <c r="R87">
        <f t="shared" si="27"/>
        <v>0.16772277227722771</v>
      </c>
      <c r="S87">
        <f t="shared" si="28"/>
        <v>0.82040000000000002</v>
      </c>
      <c r="T87">
        <f t="shared" si="29"/>
        <v>9.3056471105251587E-2</v>
      </c>
      <c r="U87">
        <f t="shared" si="30"/>
        <v>-0.01</v>
      </c>
      <c r="V87">
        <f t="shared" si="31"/>
        <v>0.30919999999999997</v>
      </c>
      <c r="W87" t="str">
        <f t="shared" si="32"/>
        <v>0.05-0.5</v>
      </c>
    </row>
    <row r="88" spans="1:23">
      <c r="A88" t="s">
        <v>468</v>
      </c>
      <c r="B88" t="s">
        <v>469</v>
      </c>
      <c r="C88" s="6">
        <v>7.8320000000000001E-2</v>
      </c>
      <c r="D88">
        <v>4.1000000000000003E-3</v>
      </c>
      <c r="E88" t="s">
        <v>1151</v>
      </c>
      <c r="F88">
        <v>5784916</v>
      </c>
      <c r="G88" t="s">
        <v>473</v>
      </c>
      <c r="H88">
        <v>228980000</v>
      </c>
      <c r="I88">
        <v>17930000</v>
      </c>
      <c r="J88">
        <f>Cleaned_data[[#This Row],[Volume (24h) USD]]/Cleaned_data[[#This Row],[Circulating_Supply($)]]</f>
        <v>2.5263848371036773E-2</v>
      </c>
      <c r="K88">
        <f>RANK(Cleaned_data[[#This Row],[  Market Cap]],Cleaned_data[ [  Market Cap] ],0)</f>
        <v>86</v>
      </c>
      <c r="L88" t="str">
        <f t="shared" si="33"/>
        <v>0-0.5</v>
      </c>
      <c r="M88">
        <f t="shared" si="22"/>
        <v>7.8320000000000001E-2</v>
      </c>
      <c r="N88" t="str">
        <f t="shared" si="23"/>
        <v>Hide</v>
      </c>
      <c r="O88" t="str">
        <f t="shared" si="24"/>
        <v>0-50</v>
      </c>
      <c r="P88">
        <f t="shared" si="25"/>
        <v>7.8000199183348273E-2</v>
      </c>
      <c r="Q88" t="str">
        <f t="shared" si="26"/>
        <v>Up to $10</v>
      </c>
      <c r="R88">
        <f t="shared" si="27"/>
        <v>7.7544554455445544E-2</v>
      </c>
      <c r="S88">
        <f t="shared" si="28"/>
        <v>2.8700000000000003E-2</v>
      </c>
      <c r="T88">
        <f t="shared" si="29"/>
        <v>7.613492757849713E-2</v>
      </c>
      <c r="U88">
        <f t="shared" si="30"/>
        <v>-0.01</v>
      </c>
      <c r="V88">
        <f t="shared" si="31"/>
        <v>7.6000000000000017E-3</v>
      </c>
      <c r="W88" t="str">
        <f t="shared" si="32"/>
        <v>0.05-0.5</v>
      </c>
    </row>
    <row r="89" spans="1:23">
      <c r="A89" t="s">
        <v>474</v>
      </c>
      <c r="B89" t="s">
        <v>475</v>
      </c>
      <c r="C89" s="6">
        <v>1.059E-3</v>
      </c>
      <c r="D89">
        <v>2.3E-2</v>
      </c>
      <c r="E89" t="s">
        <v>1152</v>
      </c>
      <c r="F89">
        <v>2845</v>
      </c>
      <c r="G89" t="s">
        <v>479</v>
      </c>
      <c r="H89">
        <v>16670000000.000002</v>
      </c>
      <c r="I89">
        <v>17660000</v>
      </c>
      <c r="J89">
        <f>Cleaned_data[[#This Row],[Volume (24h) USD]]/Cleaned_data[[#This Row],[Circulating_Supply($)]]</f>
        <v>1.7066586682663466E-7</v>
      </c>
      <c r="K89">
        <f>RANK(Cleaned_data[[#This Row],[  Market Cap]],Cleaned_data[ [  Market Cap] ],0)</f>
        <v>87</v>
      </c>
      <c r="L89" t="str">
        <f t="shared" si="33"/>
        <v>0-0.5</v>
      </c>
      <c r="M89">
        <f t="shared" si="22"/>
        <v>1.059E-3</v>
      </c>
      <c r="N89" t="str">
        <f t="shared" si="23"/>
        <v>Hide</v>
      </c>
      <c r="O89" t="str">
        <f t="shared" si="24"/>
        <v>0-50</v>
      </c>
      <c r="P89">
        <f t="shared" si="25"/>
        <v>1.0351906158357772E-3</v>
      </c>
      <c r="Q89" t="str">
        <f t="shared" si="26"/>
        <v>Up to $10</v>
      </c>
      <c r="R89">
        <f t="shared" si="27"/>
        <v>1.0485148514851486E-3</v>
      </c>
      <c r="S89">
        <f t="shared" si="28"/>
        <v>0.161</v>
      </c>
      <c r="T89">
        <f t="shared" si="29"/>
        <v>9.1214470284237722E-4</v>
      </c>
      <c r="U89">
        <f t="shared" si="30"/>
        <v>-0.01</v>
      </c>
      <c r="V89">
        <f t="shared" si="31"/>
        <v>5.8000000000000003E-2</v>
      </c>
      <c r="W89" t="str">
        <f t="shared" si="32"/>
        <v>0-0.05</v>
      </c>
    </row>
    <row r="90" spans="1:23">
      <c r="A90" t="s">
        <v>480</v>
      </c>
      <c r="B90" t="s">
        <v>481</v>
      </c>
      <c r="C90" s="6">
        <v>0.12509999999999999</v>
      </c>
      <c r="D90">
        <v>1.12E-2</v>
      </c>
      <c r="E90" t="s">
        <v>1153</v>
      </c>
      <c r="F90">
        <v>11989043</v>
      </c>
      <c r="G90" t="s">
        <v>485</v>
      </c>
      <c r="H90">
        <v>140840000</v>
      </c>
      <c r="I90">
        <v>17620000</v>
      </c>
      <c r="J90">
        <f>Cleaned_data[[#This Row],[Volume (24h) USD]]/Cleaned_data[[#This Row],[Circulating_Supply($)]]</f>
        <v>8.5125269809713147E-2</v>
      </c>
      <c r="K90">
        <f>RANK(Cleaned_data[[#This Row],[  Market Cap]],Cleaned_data[ [  Market Cap] ],0)</f>
        <v>88</v>
      </c>
      <c r="L90" t="str">
        <f t="shared" si="33"/>
        <v>0-0.5</v>
      </c>
      <c r="M90">
        <f t="shared" si="22"/>
        <v>0.12509999999999999</v>
      </c>
      <c r="N90" t="str">
        <f t="shared" si="23"/>
        <v>Hide</v>
      </c>
      <c r="O90" t="str">
        <f t="shared" si="24"/>
        <v>0-50</v>
      </c>
      <c r="P90">
        <f t="shared" si="25"/>
        <v>0.12371439873417719</v>
      </c>
      <c r="Q90" t="str">
        <f t="shared" si="26"/>
        <v>Up to $10</v>
      </c>
      <c r="R90">
        <f t="shared" si="27"/>
        <v>0.12386138613861385</v>
      </c>
      <c r="S90">
        <f t="shared" si="28"/>
        <v>7.8399999999999997E-2</v>
      </c>
      <c r="T90">
        <f t="shared" si="29"/>
        <v>0.11600519287833827</v>
      </c>
      <c r="U90">
        <f t="shared" si="30"/>
        <v>-0.01</v>
      </c>
      <c r="V90">
        <f t="shared" si="31"/>
        <v>2.6533333333333336E-2</v>
      </c>
      <c r="W90" t="str">
        <f t="shared" si="32"/>
        <v>0.05-0.5</v>
      </c>
    </row>
    <row r="91" spans="1:23">
      <c r="A91" t="s">
        <v>486</v>
      </c>
      <c r="B91" t="s">
        <v>487</v>
      </c>
      <c r="C91" s="6">
        <v>1.762E-2</v>
      </c>
      <c r="D91">
        <v>7.1999999999999998E-3</v>
      </c>
      <c r="E91" t="s">
        <v>1153</v>
      </c>
      <c r="F91">
        <v>3887797</v>
      </c>
      <c r="G91" t="s">
        <v>491</v>
      </c>
      <c r="H91">
        <v>999990000</v>
      </c>
      <c r="I91">
        <v>17620000</v>
      </c>
      <c r="J91">
        <f>Cleaned_data[[#This Row],[Volume (24h) USD]]/Cleaned_data[[#This Row],[Circulating_Supply($)]]</f>
        <v>3.8878358783587838E-3</v>
      </c>
      <c r="K91">
        <f>RANK(Cleaned_data[[#This Row],[  Market Cap]],Cleaned_data[ [  Market Cap] ],0)</f>
        <v>88</v>
      </c>
      <c r="L91" t="str">
        <f t="shared" si="33"/>
        <v>0-0.5</v>
      </c>
      <c r="M91">
        <f t="shared" si="22"/>
        <v>1.762E-2</v>
      </c>
      <c r="N91" t="str">
        <f t="shared" si="23"/>
        <v>Hide</v>
      </c>
      <c r="O91" t="str">
        <f t="shared" si="24"/>
        <v>0-50</v>
      </c>
      <c r="P91">
        <f t="shared" si="25"/>
        <v>1.7494042891183479E-2</v>
      </c>
      <c r="Q91" t="str">
        <f t="shared" si="26"/>
        <v>Up to $10</v>
      </c>
      <c r="R91">
        <f t="shared" si="27"/>
        <v>1.7445544554455447E-2</v>
      </c>
      <c r="S91">
        <f t="shared" si="28"/>
        <v>5.04E-2</v>
      </c>
      <c r="T91">
        <f t="shared" si="29"/>
        <v>1.6774562071591774E-2</v>
      </c>
      <c r="U91">
        <f t="shared" si="30"/>
        <v>-0.01</v>
      </c>
      <c r="V91">
        <f t="shared" si="31"/>
        <v>1.5866666666666668E-2</v>
      </c>
      <c r="W91" t="str">
        <f t="shared" si="32"/>
        <v>0-0.05</v>
      </c>
    </row>
    <row r="92" spans="1:23">
      <c r="A92" t="s">
        <v>492</v>
      </c>
      <c r="B92" t="s">
        <v>493</v>
      </c>
      <c r="C92" s="6">
        <v>1.3359999999999999E-4</v>
      </c>
      <c r="D92">
        <v>3.8300000000000001E-2</v>
      </c>
      <c r="E92" t="s">
        <v>1154</v>
      </c>
      <c r="F92">
        <v>111960</v>
      </c>
      <c r="G92" t="s">
        <v>497</v>
      </c>
      <c r="H92">
        <v>102770000000</v>
      </c>
      <c r="I92">
        <v>13740000</v>
      </c>
      <c r="J92">
        <f>Cleaned_data[[#This Row],[Volume (24h) USD]]/Cleaned_data[[#This Row],[Circulating_Supply($)]]</f>
        <v>1.0894229833609029E-6</v>
      </c>
      <c r="K92">
        <f>RANK(Cleaned_data[[#This Row],[  Market Cap]],Cleaned_data[ [  Market Cap] ],0)</f>
        <v>91</v>
      </c>
      <c r="L92" t="str">
        <f t="shared" si="33"/>
        <v>0-0.5</v>
      </c>
      <c r="M92">
        <f t="shared" si="22"/>
        <v>1.3359999999999999E-4</v>
      </c>
      <c r="N92" t="str">
        <f t="shared" si="23"/>
        <v>Hide</v>
      </c>
      <c r="O92" t="str">
        <f t="shared" si="24"/>
        <v>0-50</v>
      </c>
      <c r="P92">
        <f t="shared" si="25"/>
        <v>1.2867186747568139E-4</v>
      </c>
      <c r="Q92" t="str">
        <f t="shared" si="26"/>
        <v>Up to $10</v>
      </c>
      <c r="R92">
        <f t="shared" si="27"/>
        <v>1.3227722772277226E-4</v>
      </c>
      <c r="S92">
        <f t="shared" si="28"/>
        <v>0.2681</v>
      </c>
      <c r="T92">
        <f t="shared" si="29"/>
        <v>1.0535446731330336E-4</v>
      </c>
      <c r="U92">
        <f t="shared" si="30"/>
        <v>-0.01</v>
      </c>
      <c r="V92">
        <f t="shared" si="31"/>
        <v>9.8799999999999999E-2</v>
      </c>
      <c r="W92" t="str">
        <f t="shared" si="32"/>
        <v>0-0.05</v>
      </c>
    </row>
    <row r="93" spans="1:23">
      <c r="A93" t="s">
        <v>498</v>
      </c>
      <c r="B93" t="s">
        <v>499</v>
      </c>
      <c r="C93" s="6">
        <v>0.13850000000000001</v>
      </c>
      <c r="D93">
        <v>6.7000000000000002E-3</v>
      </c>
      <c r="E93" t="s">
        <v>1155</v>
      </c>
      <c r="F93">
        <v>31685843</v>
      </c>
      <c r="G93" t="s">
        <v>503</v>
      </c>
      <c r="H93">
        <v>98790000</v>
      </c>
      <c r="I93">
        <v>13690000</v>
      </c>
      <c r="J93">
        <f>Cleaned_data[[#This Row],[Volume (24h) USD]]/Cleaned_data[[#This Row],[Circulating_Supply($)]]</f>
        <v>0.32073937645510681</v>
      </c>
      <c r="K93">
        <f>RANK(Cleaned_data[[#This Row],[  Market Cap]],Cleaned_data[ [  Market Cap] ],0)</f>
        <v>92</v>
      </c>
      <c r="L93" t="str">
        <f t="shared" si="33"/>
        <v>0-0.5</v>
      </c>
      <c r="M93">
        <f t="shared" si="22"/>
        <v>0.13850000000000001</v>
      </c>
      <c r="N93" t="str">
        <f t="shared" si="23"/>
        <v>Hide</v>
      </c>
      <c r="O93" t="str">
        <f t="shared" si="24"/>
        <v>0-50</v>
      </c>
      <c r="P93">
        <f t="shared" si="25"/>
        <v>0.13757822588656007</v>
      </c>
      <c r="Q93" t="str">
        <f t="shared" si="26"/>
        <v>Up to $10</v>
      </c>
      <c r="R93">
        <f t="shared" si="27"/>
        <v>0.13712871287128714</v>
      </c>
      <c r="S93">
        <f t="shared" si="28"/>
        <v>4.6900000000000004E-2</v>
      </c>
      <c r="T93">
        <f t="shared" si="29"/>
        <v>0.13229534817078997</v>
      </c>
      <c r="U93">
        <f t="shared" si="30"/>
        <v>-0.01</v>
      </c>
      <c r="V93">
        <f t="shared" si="31"/>
        <v>1.4533333333333336E-2</v>
      </c>
      <c r="W93" t="str">
        <f t="shared" si="32"/>
        <v>0.05-0.5</v>
      </c>
    </row>
    <row r="94" spans="1:23">
      <c r="A94" t="s">
        <v>504</v>
      </c>
      <c r="B94" t="s">
        <v>505</v>
      </c>
      <c r="C94" s="6">
        <v>217.14</v>
      </c>
      <c r="D94">
        <v>0</v>
      </c>
      <c r="E94" t="s">
        <v>1156</v>
      </c>
      <c r="F94">
        <v>615356</v>
      </c>
      <c r="G94" t="s">
        <v>508</v>
      </c>
      <c r="H94">
        <v>63010</v>
      </c>
      <c r="I94">
        <v>13680000</v>
      </c>
      <c r="J94">
        <f>Cleaned_data[[#This Row],[Volume (24h) USD]]/Cleaned_data[[#This Row],[Circulating_Supply($)]]</f>
        <v>9.7660053959688931</v>
      </c>
      <c r="K94">
        <f>RANK(Cleaned_data[[#This Row],[  Market Cap]],Cleaned_data[ [  Market Cap] ],0)</f>
        <v>93</v>
      </c>
      <c r="L94" t="str">
        <f t="shared" si="33"/>
        <v>100-10000</v>
      </c>
      <c r="M94">
        <f t="shared" si="22"/>
        <v>217.14</v>
      </c>
      <c r="N94" t="str">
        <f t="shared" si="23"/>
        <v>Hide</v>
      </c>
      <c r="O94" t="str">
        <f t="shared" si="24"/>
        <v>Above 50</v>
      </c>
      <c r="P94">
        <f t="shared" si="25"/>
        <v>217.14</v>
      </c>
      <c r="Q94" t="str">
        <f t="shared" si="26"/>
        <v>&gt;= $10</v>
      </c>
      <c r="R94">
        <f t="shared" si="27"/>
        <v>214.99009900990097</v>
      </c>
      <c r="S94">
        <f t="shared" si="28"/>
        <v>0</v>
      </c>
      <c r="T94">
        <f t="shared" si="29"/>
        <v>217.14</v>
      </c>
      <c r="U94">
        <f t="shared" si="30"/>
        <v>-0.01</v>
      </c>
      <c r="V94">
        <f t="shared" si="31"/>
        <v>3.3333333333333335E-3</v>
      </c>
      <c r="W94" t="str">
        <f t="shared" si="32"/>
        <v>&gt;$50</v>
      </c>
    </row>
    <row r="95" spans="1:23">
      <c r="A95" t="s">
        <v>509</v>
      </c>
      <c r="B95" t="s">
        <v>510</v>
      </c>
      <c r="C95" s="6">
        <v>5.4140000000000001E-2</v>
      </c>
      <c r="D95">
        <v>6.1000000000000004E-3</v>
      </c>
      <c r="E95" t="s">
        <v>1156</v>
      </c>
      <c r="F95">
        <v>3115828</v>
      </c>
      <c r="G95" t="s">
        <v>514</v>
      </c>
      <c r="H95">
        <v>252590000</v>
      </c>
      <c r="I95">
        <v>13680000</v>
      </c>
      <c r="J95">
        <f>Cleaned_data[[#This Row],[Volume (24h) USD]]/Cleaned_data[[#This Row],[Circulating_Supply($)]]</f>
        <v>1.2335516053683835E-2</v>
      </c>
      <c r="K95">
        <f>RANK(Cleaned_data[[#This Row],[  Market Cap]],Cleaned_data[ [  Market Cap] ],0)</f>
        <v>93</v>
      </c>
      <c r="L95" t="str">
        <f t="shared" si="33"/>
        <v>0-0.5</v>
      </c>
      <c r="M95">
        <f t="shared" si="22"/>
        <v>5.4140000000000001E-2</v>
      </c>
      <c r="N95" t="str">
        <f t="shared" si="23"/>
        <v>Hide</v>
      </c>
      <c r="O95" t="str">
        <f t="shared" si="24"/>
        <v>0-50</v>
      </c>
      <c r="P95">
        <f t="shared" si="25"/>
        <v>5.3811748335155549E-2</v>
      </c>
      <c r="Q95" t="str">
        <f t="shared" si="26"/>
        <v>Up to $10</v>
      </c>
      <c r="R95">
        <f t="shared" si="27"/>
        <v>5.3603960396039603E-2</v>
      </c>
      <c r="S95">
        <f t="shared" si="28"/>
        <v>4.2700000000000002E-2</v>
      </c>
      <c r="T95">
        <f t="shared" si="29"/>
        <v>5.1922892490649276E-2</v>
      </c>
      <c r="U95">
        <f t="shared" si="30"/>
        <v>-0.01</v>
      </c>
      <c r="V95">
        <f t="shared" si="31"/>
        <v>1.2933333333333333E-2</v>
      </c>
      <c r="W95" t="str">
        <f t="shared" si="32"/>
        <v>0.05-0.5</v>
      </c>
    </row>
    <row r="96" spans="1:23">
      <c r="A96" t="s">
        <v>515</v>
      </c>
      <c r="B96" t="s">
        <v>516</v>
      </c>
      <c r="C96" s="6">
        <v>201.76</v>
      </c>
      <c r="D96">
        <v>2.9999999999999997E-4</v>
      </c>
      <c r="E96" t="s">
        <v>1157</v>
      </c>
      <c r="F96">
        <v>298</v>
      </c>
      <c r="G96" t="s">
        <v>519</v>
      </c>
      <c r="H96">
        <v>67640</v>
      </c>
      <c r="I96">
        <v>13650000</v>
      </c>
      <c r="J96">
        <f>Cleaned_data[[#This Row],[Volume (24h) USD]]/Cleaned_data[[#This Row],[Circulating_Supply($)]]</f>
        <v>4.4056771141336489E-3</v>
      </c>
      <c r="K96">
        <f>RANK(Cleaned_data[[#This Row],[  Market Cap]],Cleaned_data[ [  Market Cap] ],0)</f>
        <v>95</v>
      </c>
      <c r="L96" t="str">
        <f t="shared" si="33"/>
        <v>100-10000</v>
      </c>
      <c r="M96">
        <f t="shared" si="22"/>
        <v>201.76</v>
      </c>
      <c r="N96" t="str">
        <f t="shared" si="23"/>
        <v>Show</v>
      </c>
      <c r="O96" t="str">
        <f t="shared" si="24"/>
        <v>Above 50</v>
      </c>
      <c r="P96">
        <f t="shared" si="25"/>
        <v>201.6994901529541</v>
      </c>
      <c r="Q96" t="str">
        <f t="shared" si="26"/>
        <v>&gt;= $10</v>
      </c>
      <c r="R96">
        <f t="shared" si="27"/>
        <v>199.76237623762376</v>
      </c>
      <c r="S96">
        <f t="shared" si="28"/>
        <v>2.0999999999999999E-3</v>
      </c>
      <c r="T96">
        <f t="shared" si="29"/>
        <v>201.33719189701625</v>
      </c>
      <c r="U96">
        <f t="shared" si="30"/>
        <v>-0.01</v>
      </c>
      <c r="V96">
        <f t="shared" si="31"/>
        <v>2.5333333333333336E-3</v>
      </c>
      <c r="W96" t="str">
        <f t="shared" si="32"/>
        <v>&gt;$50</v>
      </c>
    </row>
    <row r="97" spans="1:23">
      <c r="A97" t="s">
        <v>520</v>
      </c>
      <c r="B97" t="s">
        <v>521</v>
      </c>
      <c r="C97" s="6">
        <v>0.1079</v>
      </c>
      <c r="D97">
        <v>2.9999999999999997E-4</v>
      </c>
      <c r="E97" t="s">
        <v>1158</v>
      </c>
      <c r="F97">
        <v>131726</v>
      </c>
      <c r="G97" t="s">
        <v>524</v>
      </c>
      <c r="H97">
        <v>126160000</v>
      </c>
      <c r="I97">
        <v>13620000</v>
      </c>
      <c r="J97">
        <f>Cleaned_data[[#This Row],[Volume (24h) USD]]/Cleaned_data[[#This Row],[Circulating_Supply($)]]</f>
        <v>1.0441185795814838E-3</v>
      </c>
      <c r="K97">
        <f>RANK(Cleaned_data[[#This Row],[  Market Cap]],Cleaned_data[ [  Market Cap] ],0)</f>
        <v>96</v>
      </c>
      <c r="L97" t="str">
        <f t="shared" si="33"/>
        <v>0-0.5</v>
      </c>
      <c r="M97">
        <f t="shared" si="22"/>
        <v>0.1079</v>
      </c>
      <c r="N97" t="str">
        <f t="shared" si="23"/>
        <v>Hide</v>
      </c>
      <c r="O97" t="str">
        <f t="shared" si="24"/>
        <v>0-50</v>
      </c>
      <c r="P97">
        <f t="shared" si="25"/>
        <v>0.10786763970808758</v>
      </c>
      <c r="Q97" t="str">
        <f t="shared" si="26"/>
        <v>Up to $10</v>
      </c>
      <c r="R97">
        <f t="shared" si="27"/>
        <v>0.10683168316831683</v>
      </c>
      <c r="S97">
        <f t="shared" si="28"/>
        <v>2.0999999999999999E-3</v>
      </c>
      <c r="T97">
        <f t="shared" si="29"/>
        <v>0.10767388484183214</v>
      </c>
      <c r="U97">
        <f t="shared" si="30"/>
        <v>-0.01</v>
      </c>
      <c r="V97">
        <f t="shared" si="31"/>
        <v>2.5333333333333336E-3</v>
      </c>
      <c r="W97" t="str">
        <f t="shared" si="32"/>
        <v>0.05-0.5</v>
      </c>
    </row>
    <row r="98" spans="1:23">
      <c r="A98" t="s">
        <v>525</v>
      </c>
      <c r="B98" t="s">
        <v>526</v>
      </c>
      <c r="C98" s="6">
        <v>7.0000000000000001E-3</v>
      </c>
      <c r="D98">
        <v>1.4E-3</v>
      </c>
      <c r="E98" t="s">
        <v>1159</v>
      </c>
      <c r="F98">
        <v>2791719</v>
      </c>
      <c r="G98" t="s">
        <v>529</v>
      </c>
      <c r="H98">
        <v>1940000000</v>
      </c>
      <c r="I98">
        <v>13590000</v>
      </c>
      <c r="J98">
        <f>Cleaned_data[[#This Row],[Volume (24h) USD]]/Cleaned_data[[#This Row],[Circulating_Supply($)]]</f>
        <v>1.439030412371134E-3</v>
      </c>
      <c r="K98">
        <f>RANK(Cleaned_data[[#This Row],[  Market Cap]],Cleaned_data[ [  Market Cap] ],0)</f>
        <v>97</v>
      </c>
      <c r="L98" t="str">
        <f t="shared" si="33"/>
        <v>0-0.5</v>
      </c>
      <c r="M98">
        <f t="shared" ref="M98:M129" si="34">VALUE(C98)</f>
        <v>7.0000000000000001E-3</v>
      </c>
      <c r="N98" t="str">
        <f t="shared" ref="N98:N129" si="35">IF(OR(LEFT(A98,1)="A",LEFT(A98,1)="E",LEFT(A98,1)="I",LEFT(A98,1)="O",LEFT(A98,1)="U",LEFT(A98,1)="B",LEFT(A98,1)="C",LEFT(A98,1)="D"),"Show","Hide")</f>
        <v>Show</v>
      </c>
      <c r="O98" t="str">
        <f t="shared" ref="O98:O129" si="36">IF(C98&lt;=50,"0-50","Above 50")</f>
        <v>0-50</v>
      </c>
      <c r="P98">
        <f t="shared" ref="P98:P129" si="37">C98/(1+D98)</f>
        <v>6.9902137008188529E-3</v>
      </c>
      <c r="Q98" t="str">
        <f t="shared" ref="Q98:Q129" si="38">IF(M98&lt;10,"Up to $10","&gt;= $10")</f>
        <v>Up to $10</v>
      </c>
      <c r="R98">
        <f t="shared" ref="R98:R129" si="39">M98/(1-U98)</f>
        <v>6.9306930693069308E-3</v>
      </c>
      <c r="S98">
        <f t="shared" ref="S98:S129" si="40">D98*7</f>
        <v>9.7999999999999997E-3</v>
      </c>
      <c r="T98">
        <f t="shared" ref="T98:T129" si="41" xml:space="preserve"> M98/(1+S98)</f>
        <v>6.9320657555951674E-3</v>
      </c>
      <c r="U98">
        <f t="shared" si="30"/>
        <v>-0.01</v>
      </c>
      <c r="V98">
        <f t="shared" ref="V98:V129" si="42">ABS(AVERAGE(D98,U98,S98))</f>
        <v>3.9999999999999991E-4</v>
      </c>
      <c r="W98" t="str">
        <f t="shared" ref="W98:W129" si="43">IF(M98&lt;=0.05,"0-0.05",
IF(M98&lt;=0.5,"0.05-0.5",
IF(M98&lt;=5,"0.5-5",
IF(M98&lt;=50,"5-50",
"&gt;$50"))))</f>
        <v>0-0.05</v>
      </c>
    </row>
    <row r="99" spans="1:23">
      <c r="A99" t="s">
        <v>530</v>
      </c>
      <c r="B99" t="s">
        <v>531</v>
      </c>
      <c r="C99" s="6">
        <v>2.6339999999999999E-2</v>
      </c>
      <c r="D99">
        <v>3.5000000000000001E-3</v>
      </c>
      <c r="E99" t="s">
        <v>1159</v>
      </c>
      <c r="F99">
        <v>490740</v>
      </c>
      <c r="G99" t="s">
        <v>535</v>
      </c>
      <c r="H99">
        <v>515730000</v>
      </c>
      <c r="I99">
        <v>13590000</v>
      </c>
      <c r="J99">
        <f>Cleaned_data[[#This Row],[Volume (24h) USD]]/Cleaned_data[[#This Row],[Circulating_Supply($)]]</f>
        <v>9.5154441277412599E-4</v>
      </c>
      <c r="K99">
        <f>RANK(Cleaned_data[[#This Row],[  Market Cap]],Cleaned_data[ [  Market Cap] ],0)</f>
        <v>97</v>
      </c>
      <c r="L99" t="str">
        <f t="shared" si="33"/>
        <v>0-0.5</v>
      </c>
      <c r="M99">
        <f t="shared" si="34"/>
        <v>2.6339999999999999E-2</v>
      </c>
      <c r="N99" t="str">
        <f t="shared" si="35"/>
        <v>Hide</v>
      </c>
      <c r="O99" t="str">
        <f t="shared" si="36"/>
        <v>0-50</v>
      </c>
      <c r="P99">
        <f t="shared" si="37"/>
        <v>2.6248131539611357E-2</v>
      </c>
      <c r="Q99" t="str">
        <f t="shared" si="38"/>
        <v>Up to $10</v>
      </c>
      <c r="R99">
        <f t="shared" si="39"/>
        <v>2.6079207920792078E-2</v>
      </c>
      <c r="S99">
        <f t="shared" si="40"/>
        <v>2.4500000000000001E-2</v>
      </c>
      <c r="T99">
        <f t="shared" si="41"/>
        <v>2.5710102489019032E-2</v>
      </c>
      <c r="U99">
        <f t="shared" si="30"/>
        <v>-0.01</v>
      </c>
      <c r="V99">
        <f t="shared" si="42"/>
        <v>6.000000000000001E-3</v>
      </c>
      <c r="W99" t="str">
        <f t="shared" si="43"/>
        <v>0-0.05</v>
      </c>
    </row>
    <row r="100" spans="1:23">
      <c r="A100" t="s">
        <v>536</v>
      </c>
      <c r="B100" t="s">
        <v>537</v>
      </c>
      <c r="C100" s="6">
        <v>2.7519999999999999E-2</v>
      </c>
      <c r="D100">
        <v>3.7000000000000002E-3</v>
      </c>
      <c r="E100" t="s">
        <v>1159</v>
      </c>
      <c r="F100">
        <v>4350968</v>
      </c>
      <c r="G100" t="s">
        <v>540</v>
      </c>
      <c r="H100">
        <v>493580000</v>
      </c>
      <c r="I100">
        <v>13590000</v>
      </c>
      <c r="J100">
        <f>Cleaned_data[[#This Row],[Volume (24h) USD]]/Cleaned_data[[#This Row],[Circulating_Supply($)]]</f>
        <v>8.8151221686454066E-3</v>
      </c>
      <c r="K100">
        <f>RANK(Cleaned_data[[#This Row],[  Market Cap]],Cleaned_data[ [  Market Cap] ],0)</f>
        <v>97</v>
      </c>
      <c r="L100" t="str">
        <f t="shared" si="33"/>
        <v>0-0.5</v>
      </c>
      <c r="M100">
        <f t="shared" si="34"/>
        <v>2.7519999999999999E-2</v>
      </c>
      <c r="N100" t="str">
        <f t="shared" si="35"/>
        <v>Show</v>
      </c>
      <c r="O100" t="str">
        <f t="shared" si="36"/>
        <v>0-50</v>
      </c>
      <c r="P100">
        <f t="shared" si="37"/>
        <v>2.7418551359968117E-2</v>
      </c>
      <c r="Q100" t="str">
        <f t="shared" si="38"/>
        <v>Up to $10</v>
      </c>
      <c r="R100">
        <f t="shared" si="39"/>
        <v>2.7247524752475247E-2</v>
      </c>
      <c r="S100">
        <f t="shared" si="40"/>
        <v>2.5899999999999999E-2</v>
      </c>
      <c r="T100">
        <f t="shared" si="41"/>
        <v>2.6825226630275853E-2</v>
      </c>
      <c r="U100">
        <f t="shared" si="30"/>
        <v>-0.01</v>
      </c>
      <c r="V100">
        <f t="shared" si="42"/>
        <v>6.5333333333333328E-3</v>
      </c>
      <c r="W100" t="str">
        <f t="shared" si="43"/>
        <v>0-0.05</v>
      </c>
    </row>
    <row r="101" spans="1:23">
      <c r="A101" t="s">
        <v>541</v>
      </c>
      <c r="B101" t="s">
        <v>542</v>
      </c>
      <c r="C101" s="6">
        <v>8.0710000000000004E-2</v>
      </c>
      <c r="D101">
        <v>1.1000000000000001E-3</v>
      </c>
      <c r="E101" t="s">
        <v>1160</v>
      </c>
      <c r="F101">
        <v>458524</v>
      </c>
      <c r="G101" t="s">
        <v>545</v>
      </c>
      <c r="H101">
        <v>167840000</v>
      </c>
      <c r="I101">
        <v>13550000</v>
      </c>
      <c r="J101">
        <f>Cleaned_data[[#This Row],[Volume (24h) USD]]/Cleaned_data[[#This Row],[Circulating_Supply($)]]</f>
        <v>2.7319113441372734E-3</v>
      </c>
      <c r="K101">
        <f>RANK(Cleaned_data[[#This Row],[  Market Cap]],Cleaned_data[ [  Market Cap] ],0)</f>
        <v>100</v>
      </c>
      <c r="L101" t="str">
        <f t="shared" si="33"/>
        <v>0-0.5</v>
      </c>
      <c r="M101">
        <f t="shared" si="34"/>
        <v>8.0710000000000004E-2</v>
      </c>
      <c r="N101" t="str">
        <f t="shared" si="35"/>
        <v>Hide</v>
      </c>
      <c r="O101" t="str">
        <f t="shared" si="36"/>
        <v>0-50</v>
      </c>
      <c r="P101">
        <f t="shared" si="37"/>
        <v>8.0621316551793026E-2</v>
      </c>
      <c r="Q101" t="str">
        <f t="shared" si="38"/>
        <v>Up to $10</v>
      </c>
      <c r="R101">
        <f t="shared" si="39"/>
        <v>7.9910891089108912E-2</v>
      </c>
      <c r="S101">
        <f t="shared" si="40"/>
        <v>7.7000000000000002E-3</v>
      </c>
      <c r="T101">
        <f t="shared" si="41"/>
        <v>8.0093281730673815E-2</v>
      </c>
      <c r="U101">
        <f t="shared" si="30"/>
        <v>-0.01</v>
      </c>
      <c r="V101">
        <f t="shared" si="42"/>
        <v>3.9999999999999991E-4</v>
      </c>
      <c r="W101" t="str">
        <f t="shared" si="43"/>
        <v>0.05-0.5</v>
      </c>
    </row>
    <row r="102" spans="1:23">
      <c r="A102" t="s">
        <v>546</v>
      </c>
      <c r="B102" t="s">
        <v>547</v>
      </c>
      <c r="C102" s="6">
        <v>0.1552</v>
      </c>
      <c r="D102">
        <v>3.5999999999999999E-3</v>
      </c>
      <c r="E102" t="s">
        <v>1161</v>
      </c>
      <c r="F102">
        <v>1625193</v>
      </c>
      <c r="G102" t="s">
        <v>551</v>
      </c>
      <c r="H102">
        <v>69780000</v>
      </c>
      <c r="I102">
        <v>10830000</v>
      </c>
      <c r="J102">
        <f>Cleaned_data[[#This Row],[Volume (24h) USD]]/Cleaned_data[[#This Row],[Circulating_Supply($)]]</f>
        <v>2.3290240756663801E-2</v>
      </c>
      <c r="K102">
        <f>RANK(Cleaned_data[[#This Row],[  Market Cap]],Cleaned_data[ [  Market Cap] ],0)</f>
        <v>101</v>
      </c>
      <c r="L102" t="str">
        <f t="shared" si="33"/>
        <v>0-0.5</v>
      </c>
      <c r="M102">
        <f t="shared" si="34"/>
        <v>0.1552</v>
      </c>
      <c r="N102" t="str">
        <f t="shared" si="35"/>
        <v>Show</v>
      </c>
      <c r="O102" t="str">
        <f t="shared" si="36"/>
        <v>0-50</v>
      </c>
      <c r="P102">
        <f t="shared" si="37"/>
        <v>0.15464328417696294</v>
      </c>
      <c r="Q102" t="str">
        <f t="shared" si="38"/>
        <v>Up to $10</v>
      </c>
      <c r="R102">
        <f t="shared" si="39"/>
        <v>0.15366336633663366</v>
      </c>
      <c r="S102">
        <f t="shared" si="40"/>
        <v>2.52E-2</v>
      </c>
      <c r="T102">
        <f t="shared" si="41"/>
        <v>0.15138509559110419</v>
      </c>
      <c r="U102">
        <f t="shared" si="30"/>
        <v>-0.01</v>
      </c>
      <c r="V102">
        <f t="shared" si="42"/>
        <v>6.2666666666666669E-3</v>
      </c>
      <c r="W102" t="str">
        <f t="shared" si="43"/>
        <v>0.05-0.5</v>
      </c>
    </row>
    <row r="103" spans="1:23">
      <c r="A103" t="s">
        <v>552</v>
      </c>
      <c r="B103" t="s">
        <v>553</v>
      </c>
      <c r="C103" s="6">
        <v>3.1930000000000001E-5</v>
      </c>
      <c r="D103">
        <v>6.7000000000000002E-3</v>
      </c>
      <c r="E103" t="s">
        <v>1162</v>
      </c>
      <c r="F103">
        <v>439089</v>
      </c>
      <c r="G103" t="s">
        <v>556</v>
      </c>
      <c r="H103">
        <v>337890000000</v>
      </c>
      <c r="I103">
        <v>10790000</v>
      </c>
      <c r="J103">
        <f>Cleaned_data[[#This Row],[Volume (24h) USD]]/Cleaned_data[[#This Row],[Circulating_Supply($)]]</f>
        <v>1.299502796768179E-6</v>
      </c>
      <c r="K103">
        <f>RANK(Cleaned_data[[#This Row],[  Market Cap]],Cleaned_data[ [  Market Cap] ],0)</f>
        <v>102</v>
      </c>
      <c r="L103" t="str">
        <f t="shared" si="33"/>
        <v>0-0.5</v>
      </c>
      <c r="M103">
        <f t="shared" si="34"/>
        <v>3.1930000000000001E-5</v>
      </c>
      <c r="N103" t="str">
        <f t="shared" si="35"/>
        <v>Show</v>
      </c>
      <c r="O103" t="str">
        <f t="shared" si="36"/>
        <v>0-50</v>
      </c>
      <c r="P103">
        <f t="shared" si="37"/>
        <v>3.1717492798251717E-5</v>
      </c>
      <c r="Q103" t="str">
        <f t="shared" si="38"/>
        <v>Up to $10</v>
      </c>
      <c r="R103">
        <f t="shared" si="39"/>
        <v>3.1613861386138616E-5</v>
      </c>
      <c r="S103">
        <f t="shared" si="40"/>
        <v>4.6900000000000004E-2</v>
      </c>
      <c r="T103">
        <f t="shared" si="41"/>
        <v>3.0499570159518581E-5</v>
      </c>
      <c r="U103">
        <f t="shared" si="30"/>
        <v>-0.01</v>
      </c>
      <c r="V103">
        <f t="shared" si="42"/>
        <v>1.4533333333333336E-2</v>
      </c>
      <c r="W103" t="str">
        <f t="shared" si="43"/>
        <v>0-0.05</v>
      </c>
    </row>
    <row r="104" spans="1:23">
      <c r="A104" t="s">
        <v>557</v>
      </c>
      <c r="B104" t="s">
        <v>558</v>
      </c>
      <c r="C104" s="6">
        <v>0.35859999999999997</v>
      </c>
      <c r="D104">
        <v>1E-4</v>
      </c>
      <c r="E104" t="s">
        <v>1163</v>
      </c>
      <c r="F104">
        <v>157215</v>
      </c>
      <c r="G104" t="s">
        <v>561</v>
      </c>
      <c r="H104">
        <v>30060000</v>
      </c>
      <c r="I104">
        <v>10780000</v>
      </c>
      <c r="J104">
        <f>Cleaned_data[[#This Row],[Volume (24h) USD]]/Cleaned_data[[#This Row],[Circulating_Supply($)]]</f>
        <v>5.2300399201596808E-3</v>
      </c>
      <c r="K104">
        <f>RANK(Cleaned_data[[#This Row],[  Market Cap]],Cleaned_data[ [  Market Cap] ],0)</f>
        <v>103</v>
      </c>
      <c r="L104" t="str">
        <f t="shared" si="33"/>
        <v>0-0.5</v>
      </c>
      <c r="M104">
        <f t="shared" si="34"/>
        <v>0.35859999999999997</v>
      </c>
      <c r="N104" t="str">
        <f t="shared" si="35"/>
        <v>Show</v>
      </c>
      <c r="O104" t="str">
        <f t="shared" si="36"/>
        <v>0-50</v>
      </c>
      <c r="P104">
        <f t="shared" si="37"/>
        <v>0.35856414358564143</v>
      </c>
      <c r="Q104" t="str">
        <f t="shared" si="38"/>
        <v>Up to $10</v>
      </c>
      <c r="R104">
        <f t="shared" si="39"/>
        <v>0.35504950495049503</v>
      </c>
      <c r="S104">
        <f t="shared" si="40"/>
        <v>6.9999999999999999E-4</v>
      </c>
      <c r="T104">
        <f t="shared" si="41"/>
        <v>0.35834915559108627</v>
      </c>
      <c r="U104">
        <f t="shared" si="30"/>
        <v>-0.01</v>
      </c>
      <c r="V104">
        <f t="shared" si="42"/>
        <v>3.0666666666666672E-3</v>
      </c>
      <c r="W104" t="str">
        <f t="shared" si="43"/>
        <v>0.05-0.5</v>
      </c>
    </row>
    <row r="105" spans="1:23">
      <c r="A105" t="s">
        <v>562</v>
      </c>
      <c r="B105" t="s">
        <v>563</v>
      </c>
      <c r="C105" s="6">
        <v>195.59</v>
      </c>
      <c r="D105">
        <v>1.6999999999999999E-3</v>
      </c>
      <c r="E105" t="s">
        <v>1164</v>
      </c>
      <c r="F105">
        <v>3076178</v>
      </c>
      <c r="G105" t="s">
        <v>567</v>
      </c>
      <c r="H105">
        <v>55060</v>
      </c>
      <c r="I105">
        <v>10770000</v>
      </c>
      <c r="J105">
        <f>Cleaned_data[[#This Row],[Volume (24h) USD]]/Cleaned_data[[#This Row],[Circulating_Supply($)]]</f>
        <v>55.869560479476931</v>
      </c>
      <c r="K105">
        <f>RANK(Cleaned_data[[#This Row],[  Market Cap]],Cleaned_data[ [  Market Cap] ],0)</f>
        <v>104</v>
      </c>
      <c r="L105" t="str">
        <f t="shared" si="33"/>
        <v>100-10000</v>
      </c>
      <c r="M105">
        <f t="shared" si="34"/>
        <v>195.59</v>
      </c>
      <c r="N105" t="str">
        <f t="shared" si="35"/>
        <v>Show</v>
      </c>
      <c r="O105" t="str">
        <f t="shared" si="36"/>
        <v>Above 50</v>
      </c>
      <c r="P105">
        <f t="shared" si="37"/>
        <v>195.25806129579715</v>
      </c>
      <c r="Q105" t="str">
        <f t="shared" si="38"/>
        <v>&gt;= $10</v>
      </c>
      <c r="R105">
        <f t="shared" si="39"/>
        <v>193.65346534653466</v>
      </c>
      <c r="S105">
        <f t="shared" si="40"/>
        <v>1.1899999999999999E-2</v>
      </c>
      <c r="T105">
        <f t="shared" si="41"/>
        <v>193.28985077576834</v>
      </c>
      <c r="U105">
        <f t="shared" si="30"/>
        <v>-0.01</v>
      </c>
      <c r="V105">
        <f t="shared" si="42"/>
        <v>1.1999999999999997E-3</v>
      </c>
      <c r="W105" t="str">
        <f t="shared" si="43"/>
        <v>&gt;$50</v>
      </c>
    </row>
    <row r="106" spans="1:23">
      <c r="A106" t="s">
        <v>568</v>
      </c>
      <c r="B106" t="s">
        <v>569</v>
      </c>
      <c r="C106" s="6">
        <v>85.03</v>
      </c>
      <c r="D106">
        <v>6.9999999999999999E-4</v>
      </c>
      <c r="E106" t="s">
        <v>1164</v>
      </c>
      <c r="F106">
        <v>20</v>
      </c>
      <c r="G106" t="s">
        <v>572</v>
      </c>
      <c r="H106">
        <v>126600</v>
      </c>
      <c r="I106">
        <v>10770000</v>
      </c>
      <c r="J106">
        <f>Cleaned_data[[#This Row],[Volume (24h) USD]]/Cleaned_data[[#This Row],[Circulating_Supply($)]]</f>
        <v>1.579778830963665E-4</v>
      </c>
      <c r="K106">
        <f>RANK(Cleaned_data[[#This Row],[  Market Cap]],Cleaned_data[ [  Market Cap] ],0)</f>
        <v>104</v>
      </c>
      <c r="L106" t="str">
        <f t="shared" si="33"/>
        <v>10-100</v>
      </c>
      <c r="M106">
        <f t="shared" si="34"/>
        <v>85.03</v>
      </c>
      <c r="N106" t="str">
        <f t="shared" si="35"/>
        <v>Show</v>
      </c>
      <c r="O106" t="str">
        <f t="shared" si="36"/>
        <v>Above 50</v>
      </c>
      <c r="P106">
        <f t="shared" si="37"/>
        <v>84.970520635555118</v>
      </c>
      <c r="Q106" t="str">
        <f t="shared" si="38"/>
        <v>&gt;= $10</v>
      </c>
      <c r="R106">
        <f t="shared" si="39"/>
        <v>84.188118811881182</v>
      </c>
      <c r="S106">
        <f t="shared" si="40"/>
        <v>4.8999999999999998E-3</v>
      </c>
      <c r="T106">
        <f t="shared" si="41"/>
        <v>84.615384615384627</v>
      </c>
      <c r="U106">
        <f t="shared" si="30"/>
        <v>-0.01</v>
      </c>
      <c r="V106">
        <f t="shared" si="42"/>
        <v>1.4666666666666671E-3</v>
      </c>
      <c r="W106" t="str">
        <f t="shared" si="43"/>
        <v>&gt;$50</v>
      </c>
    </row>
    <row r="107" spans="1:23">
      <c r="A107" t="s">
        <v>573</v>
      </c>
      <c r="B107" t="s">
        <v>574</v>
      </c>
      <c r="C107" s="6">
        <v>1.678E-2</v>
      </c>
      <c r="D107">
        <v>9.1000000000000004E-3</v>
      </c>
      <c r="E107" t="s">
        <v>1165</v>
      </c>
      <c r="F107">
        <v>838362</v>
      </c>
      <c r="G107" t="s">
        <v>577</v>
      </c>
      <c r="H107">
        <v>634270000</v>
      </c>
      <c r="I107">
        <v>10640000</v>
      </c>
      <c r="J107">
        <f>Cleaned_data[[#This Row],[Volume (24h) USD]]/Cleaned_data[[#This Row],[Circulating_Supply($)]]</f>
        <v>1.3217746385608652E-3</v>
      </c>
      <c r="K107">
        <f>RANK(Cleaned_data[[#This Row],[  Market Cap]],Cleaned_data[ [  Market Cap] ],0)</f>
        <v>106</v>
      </c>
      <c r="L107" t="str">
        <f t="shared" si="33"/>
        <v>0-0.5</v>
      </c>
      <c r="M107">
        <f t="shared" si="34"/>
        <v>1.678E-2</v>
      </c>
      <c r="N107" t="str">
        <f t="shared" si="35"/>
        <v>Hide</v>
      </c>
      <c r="O107" t="str">
        <f t="shared" si="36"/>
        <v>0-50</v>
      </c>
      <c r="P107">
        <f t="shared" si="37"/>
        <v>1.6628679020909719E-2</v>
      </c>
      <c r="Q107" t="str">
        <f t="shared" si="38"/>
        <v>Up to $10</v>
      </c>
      <c r="R107">
        <f t="shared" si="39"/>
        <v>1.6613861386138615E-2</v>
      </c>
      <c r="S107">
        <f t="shared" si="40"/>
        <v>6.3700000000000007E-2</v>
      </c>
      <c r="T107">
        <f t="shared" si="41"/>
        <v>1.5775124565196953E-2</v>
      </c>
      <c r="U107">
        <f t="shared" si="30"/>
        <v>-0.01</v>
      </c>
      <c r="V107">
        <f t="shared" si="42"/>
        <v>2.0933333333333335E-2</v>
      </c>
      <c r="W107" t="str">
        <f t="shared" si="43"/>
        <v>0-0.05</v>
      </c>
    </row>
    <row r="108" spans="1:23">
      <c r="A108" t="s">
        <v>578</v>
      </c>
      <c r="B108" t="s">
        <v>579</v>
      </c>
      <c r="C108" s="6">
        <v>0.49840000000000001</v>
      </c>
      <c r="D108">
        <v>9.1999999999999998E-3</v>
      </c>
      <c r="E108" t="s">
        <v>1166</v>
      </c>
      <c r="F108">
        <v>4601298</v>
      </c>
      <c r="G108" t="s">
        <v>583</v>
      </c>
      <c r="H108">
        <v>21330000</v>
      </c>
      <c r="I108">
        <v>10630000</v>
      </c>
      <c r="J108">
        <f>Cleaned_data[[#This Row],[Volume (24h) USD]]/Cleaned_data[[#This Row],[Circulating_Supply($)]]</f>
        <v>0.21571954992967651</v>
      </c>
      <c r="K108">
        <f>RANK(Cleaned_data[[#This Row],[  Market Cap]],Cleaned_data[ [  Market Cap] ],0)</f>
        <v>107</v>
      </c>
      <c r="L108" t="str">
        <f t="shared" si="33"/>
        <v>0-0.5</v>
      </c>
      <c r="M108">
        <f t="shared" si="34"/>
        <v>0.49840000000000001</v>
      </c>
      <c r="N108" t="str">
        <f t="shared" si="35"/>
        <v>Show</v>
      </c>
      <c r="O108" t="str">
        <f t="shared" si="36"/>
        <v>0-50</v>
      </c>
      <c r="P108">
        <f t="shared" si="37"/>
        <v>0.49385652001585412</v>
      </c>
      <c r="Q108" t="str">
        <f t="shared" si="38"/>
        <v>Up to $10</v>
      </c>
      <c r="R108">
        <f t="shared" si="39"/>
        <v>0.49346534653465346</v>
      </c>
      <c r="S108">
        <f t="shared" si="40"/>
        <v>6.4399999999999999E-2</v>
      </c>
      <c r="T108">
        <f t="shared" si="41"/>
        <v>0.46824502066892149</v>
      </c>
      <c r="U108">
        <f t="shared" si="30"/>
        <v>-0.01</v>
      </c>
      <c r="V108">
        <f t="shared" si="42"/>
        <v>2.12E-2</v>
      </c>
      <c r="W108" t="str">
        <f t="shared" si="43"/>
        <v>0.05-0.5</v>
      </c>
    </row>
    <row r="109" spans="1:23">
      <c r="A109" t="s">
        <v>584</v>
      </c>
      <c r="B109" t="s">
        <v>585</v>
      </c>
      <c r="C109" s="6">
        <v>1.32</v>
      </c>
      <c r="D109">
        <v>3.3E-3</v>
      </c>
      <c r="E109" t="s">
        <v>1167</v>
      </c>
      <c r="F109">
        <v>16003151</v>
      </c>
      <c r="G109" t="s">
        <v>588</v>
      </c>
      <c r="H109">
        <v>7970000</v>
      </c>
      <c r="I109">
        <v>10610000</v>
      </c>
      <c r="J109">
        <f>Cleaned_data[[#This Row],[Volume (24h) USD]]/Cleaned_data[[#This Row],[Circulating_Supply($)]]</f>
        <v>2.0079235884567126</v>
      </c>
      <c r="K109">
        <f>RANK(Cleaned_data[[#This Row],[  Market Cap]],Cleaned_data[ [  Market Cap] ],0)</f>
        <v>108</v>
      </c>
      <c r="L109" t="str">
        <f t="shared" si="33"/>
        <v>1-2</v>
      </c>
      <c r="M109">
        <f t="shared" si="34"/>
        <v>1.32</v>
      </c>
      <c r="N109" t="str">
        <f t="shared" si="35"/>
        <v>Hide</v>
      </c>
      <c r="O109" t="str">
        <f t="shared" si="36"/>
        <v>0-50</v>
      </c>
      <c r="P109">
        <f t="shared" si="37"/>
        <v>1.3156583275191867</v>
      </c>
      <c r="Q109" t="str">
        <f t="shared" si="38"/>
        <v>Up to $10</v>
      </c>
      <c r="R109">
        <f t="shared" si="39"/>
        <v>1.306930693069307</v>
      </c>
      <c r="S109">
        <f t="shared" si="40"/>
        <v>2.3099999999999999E-2</v>
      </c>
      <c r="T109">
        <f t="shared" si="41"/>
        <v>1.2901964617339461</v>
      </c>
      <c r="U109">
        <f t="shared" si="30"/>
        <v>-0.01</v>
      </c>
      <c r="V109">
        <f t="shared" si="42"/>
        <v>5.4666666666666657E-3</v>
      </c>
      <c r="W109" t="str">
        <f t="shared" si="43"/>
        <v>0.5-5</v>
      </c>
    </row>
    <row r="110" spans="1:23">
      <c r="A110" t="s">
        <v>589</v>
      </c>
      <c r="B110" t="s">
        <v>590</v>
      </c>
      <c r="C110" s="6">
        <v>3.5349999999999999E-3</v>
      </c>
      <c r="D110">
        <v>3.2000000000000002E-3</v>
      </c>
      <c r="E110" t="s">
        <v>1167</v>
      </c>
      <c r="F110">
        <v>624500</v>
      </c>
      <c r="G110" t="s">
        <v>593</v>
      </c>
      <c r="H110">
        <v>3000000000</v>
      </c>
      <c r="I110">
        <v>10610000</v>
      </c>
      <c r="J110">
        <f>Cleaned_data[[#This Row],[Volume (24h) USD]]/Cleaned_data[[#This Row],[Circulating_Supply($)]]</f>
        <v>2.0816666666666667E-4</v>
      </c>
      <c r="K110">
        <f>RANK(Cleaned_data[[#This Row],[  Market Cap]],Cleaned_data[ [  Market Cap] ],0)</f>
        <v>108</v>
      </c>
      <c r="L110" t="str">
        <f t="shared" si="33"/>
        <v>0-0.5</v>
      </c>
      <c r="M110">
        <f t="shared" si="34"/>
        <v>3.5349999999999999E-3</v>
      </c>
      <c r="N110" t="str">
        <f t="shared" si="35"/>
        <v>Show</v>
      </c>
      <c r="O110" t="str">
        <f t="shared" si="36"/>
        <v>0-50</v>
      </c>
      <c r="P110">
        <f t="shared" si="37"/>
        <v>3.523724082934609E-3</v>
      </c>
      <c r="Q110" t="str">
        <f t="shared" si="38"/>
        <v>Up to $10</v>
      </c>
      <c r="R110">
        <f t="shared" si="39"/>
        <v>3.5000000000000001E-3</v>
      </c>
      <c r="S110">
        <f t="shared" si="40"/>
        <v>2.24E-2</v>
      </c>
      <c r="T110">
        <f t="shared" si="41"/>
        <v>3.4575508607198749E-3</v>
      </c>
      <c r="U110">
        <f t="shared" si="30"/>
        <v>-0.01</v>
      </c>
      <c r="V110">
        <f t="shared" si="42"/>
        <v>5.1999999999999998E-3</v>
      </c>
      <c r="W110" t="str">
        <f t="shared" si="43"/>
        <v>0-0.05</v>
      </c>
    </row>
    <row r="111" spans="1:23">
      <c r="A111" t="s">
        <v>599</v>
      </c>
      <c r="B111" t="s">
        <v>600</v>
      </c>
      <c r="C111" s="6">
        <v>1.366E-3</v>
      </c>
      <c r="D111">
        <v>0</v>
      </c>
      <c r="E111" t="s">
        <v>1168</v>
      </c>
      <c r="F111">
        <v>37378</v>
      </c>
      <c r="G111" t="s">
        <v>603</v>
      </c>
      <c r="H111">
        <v>6000000000</v>
      </c>
      <c r="I111">
        <v>8200000</v>
      </c>
      <c r="J111">
        <f>Cleaned_data[[#This Row],[Volume (24h) USD]]/Cleaned_data[[#This Row],[Circulating_Supply($)]]</f>
        <v>6.2296666666666664E-6</v>
      </c>
      <c r="K111">
        <f>RANK(Cleaned_data[[#This Row],[  Market Cap]],Cleaned_data[ [  Market Cap] ],0)</f>
        <v>110</v>
      </c>
      <c r="L111" t="str">
        <f t="shared" si="33"/>
        <v>0-0.5</v>
      </c>
      <c r="M111">
        <f t="shared" si="34"/>
        <v>1.366E-3</v>
      </c>
      <c r="N111" t="str">
        <f t="shared" si="35"/>
        <v>Hide</v>
      </c>
      <c r="O111" t="str">
        <f t="shared" si="36"/>
        <v>0-50</v>
      </c>
      <c r="P111">
        <f t="shared" si="37"/>
        <v>1.366E-3</v>
      </c>
      <c r="Q111" t="str">
        <f t="shared" si="38"/>
        <v>Up to $10</v>
      </c>
      <c r="R111">
        <f t="shared" si="39"/>
        <v>1.3524752475247525E-3</v>
      </c>
      <c r="S111">
        <f t="shared" si="40"/>
        <v>0</v>
      </c>
      <c r="T111">
        <f t="shared" si="41"/>
        <v>1.366E-3</v>
      </c>
      <c r="U111">
        <f t="shared" si="30"/>
        <v>-0.01</v>
      </c>
      <c r="V111">
        <f t="shared" si="42"/>
        <v>3.3333333333333335E-3</v>
      </c>
      <c r="W111" t="str">
        <f t="shared" si="43"/>
        <v>0-0.05</v>
      </c>
    </row>
    <row r="112" spans="1:23">
      <c r="A112" t="s">
        <v>604</v>
      </c>
      <c r="B112" t="s">
        <v>605</v>
      </c>
      <c r="C112" s="6">
        <v>3.0339999999999999E-2</v>
      </c>
      <c r="D112">
        <v>2.7000000000000001E-3</v>
      </c>
      <c r="E112" t="s">
        <v>1169</v>
      </c>
      <c r="F112">
        <v>1026059</v>
      </c>
      <c r="G112" t="s">
        <v>609</v>
      </c>
      <c r="H112">
        <v>269480000</v>
      </c>
      <c r="I112">
        <v>8180000</v>
      </c>
      <c r="J112">
        <f>Cleaned_data[[#This Row],[Volume (24h) USD]]/Cleaned_data[[#This Row],[Circulating_Supply($)]]</f>
        <v>3.8075515808223244E-3</v>
      </c>
      <c r="K112">
        <f>RANK(Cleaned_data[[#This Row],[  Market Cap]],Cleaned_data[ [  Market Cap] ],0)</f>
        <v>111</v>
      </c>
      <c r="L112" t="str">
        <f t="shared" si="33"/>
        <v>0-0.5</v>
      </c>
      <c r="M112">
        <f t="shared" si="34"/>
        <v>3.0339999999999999E-2</v>
      </c>
      <c r="N112" t="str">
        <f t="shared" si="35"/>
        <v>Show</v>
      </c>
      <c r="O112" t="str">
        <f t="shared" si="36"/>
        <v>0-50</v>
      </c>
      <c r="P112">
        <f t="shared" si="37"/>
        <v>3.025830258302583E-2</v>
      </c>
      <c r="Q112" t="str">
        <f t="shared" si="38"/>
        <v>Up to $10</v>
      </c>
      <c r="R112">
        <f t="shared" si="39"/>
        <v>3.0039603960396039E-2</v>
      </c>
      <c r="S112">
        <f t="shared" si="40"/>
        <v>1.89E-2</v>
      </c>
      <c r="T112">
        <f t="shared" si="41"/>
        <v>2.977721071744038E-2</v>
      </c>
      <c r="U112">
        <f t="shared" si="30"/>
        <v>-0.01</v>
      </c>
      <c r="V112">
        <f t="shared" si="42"/>
        <v>3.8666666666666663E-3</v>
      </c>
      <c r="W112" t="str">
        <f t="shared" si="43"/>
        <v>0-0.05</v>
      </c>
    </row>
    <row r="113" spans="1:23">
      <c r="A113" t="s">
        <v>614</v>
      </c>
      <c r="B113" t="s">
        <v>615</v>
      </c>
      <c r="C113" s="6">
        <v>4.3270000000000003E-2</v>
      </c>
      <c r="D113">
        <v>8.0000000000000004E-4</v>
      </c>
      <c r="E113" t="s">
        <v>1170</v>
      </c>
      <c r="F113">
        <v>131873</v>
      </c>
      <c r="G113" t="s">
        <v>618</v>
      </c>
      <c r="H113">
        <v>188010000</v>
      </c>
      <c r="I113">
        <v>8140000</v>
      </c>
      <c r="J113">
        <f>Cleaned_data[[#This Row],[Volume (24h) USD]]/Cleaned_data[[#This Row],[Circulating_Supply($)]]</f>
        <v>7.0141481836072546E-4</v>
      </c>
      <c r="K113">
        <f>RANK(Cleaned_data[[#This Row],[  Market Cap]],Cleaned_data[ [  Market Cap] ],0)</f>
        <v>112</v>
      </c>
      <c r="L113" t="str">
        <f t="shared" si="33"/>
        <v>0-0.5</v>
      </c>
      <c r="M113">
        <f t="shared" si="34"/>
        <v>4.3270000000000003E-2</v>
      </c>
      <c r="N113" t="str">
        <f t="shared" si="35"/>
        <v>Hide</v>
      </c>
      <c r="O113" t="str">
        <f t="shared" si="36"/>
        <v>0-50</v>
      </c>
      <c r="P113">
        <f t="shared" si="37"/>
        <v>4.3235411670663478E-2</v>
      </c>
      <c r="Q113" t="str">
        <f t="shared" si="38"/>
        <v>Up to $10</v>
      </c>
      <c r="R113">
        <f t="shared" si="39"/>
        <v>4.2841584158415845E-2</v>
      </c>
      <c r="S113">
        <f t="shared" si="40"/>
        <v>5.5999999999999999E-3</v>
      </c>
      <c r="T113">
        <f t="shared" si="41"/>
        <v>4.3029037390612569E-2</v>
      </c>
      <c r="U113">
        <f t="shared" si="30"/>
        <v>-0.01</v>
      </c>
      <c r="V113">
        <f t="shared" si="42"/>
        <v>1.1999999999999999E-3</v>
      </c>
      <c r="W113" t="str">
        <f t="shared" si="43"/>
        <v>0-0.05</v>
      </c>
    </row>
    <row r="114" spans="1:23">
      <c r="A114" t="s">
        <v>619</v>
      </c>
      <c r="B114" t="s">
        <v>620</v>
      </c>
      <c r="C114" s="6">
        <v>1.719E-3</v>
      </c>
      <c r="D114">
        <v>1.8E-3</v>
      </c>
      <c r="E114" t="s">
        <v>1171</v>
      </c>
      <c r="F114">
        <v>849551</v>
      </c>
      <c r="G114" t="s">
        <v>623</v>
      </c>
      <c r="H114">
        <v>4720000000</v>
      </c>
      <c r="I114">
        <v>8120000</v>
      </c>
      <c r="J114">
        <f>Cleaned_data[[#This Row],[Volume (24h) USD]]/Cleaned_data[[#This Row],[Circulating_Supply($)]]</f>
        <v>1.799896186440678E-4</v>
      </c>
      <c r="K114">
        <f>RANK(Cleaned_data[[#This Row],[  Market Cap]],Cleaned_data[ [  Market Cap] ],0)</f>
        <v>113</v>
      </c>
      <c r="L114" t="str">
        <f t="shared" si="33"/>
        <v>0-0.5</v>
      </c>
      <c r="M114">
        <f t="shared" si="34"/>
        <v>1.719E-3</v>
      </c>
      <c r="N114" t="str">
        <f t="shared" si="35"/>
        <v>Hide</v>
      </c>
      <c r="O114" t="str">
        <f t="shared" si="36"/>
        <v>0-50</v>
      </c>
      <c r="P114">
        <f t="shared" si="37"/>
        <v>1.7159113595528049E-3</v>
      </c>
      <c r="Q114" t="str">
        <f t="shared" si="38"/>
        <v>Up to $10</v>
      </c>
      <c r="R114">
        <f t="shared" si="39"/>
        <v>1.701980198019802E-3</v>
      </c>
      <c r="S114">
        <f t="shared" si="40"/>
        <v>1.26E-2</v>
      </c>
      <c r="T114">
        <f t="shared" si="41"/>
        <v>1.6976101125814737E-3</v>
      </c>
      <c r="U114">
        <f t="shared" si="30"/>
        <v>-0.01</v>
      </c>
      <c r="V114">
        <f t="shared" si="42"/>
        <v>1.4666666666666665E-3</v>
      </c>
      <c r="W114" t="str">
        <f t="shared" si="43"/>
        <v>0-0.05</v>
      </c>
    </row>
    <row r="115" spans="1:23">
      <c r="A115" t="s">
        <v>624</v>
      </c>
      <c r="B115" t="s">
        <v>625</v>
      </c>
      <c r="C115" s="6">
        <v>1.6670000000000001E-2</v>
      </c>
      <c r="D115">
        <v>1.8E-3</v>
      </c>
      <c r="E115" t="s">
        <v>1172</v>
      </c>
      <c r="F115">
        <v>1597872</v>
      </c>
      <c r="G115" t="s">
        <v>628</v>
      </c>
      <c r="H115">
        <v>485070000</v>
      </c>
      <c r="I115">
        <v>8090000</v>
      </c>
      <c r="J115">
        <f>Cleaned_data[[#This Row],[Volume (24h) USD]]/Cleaned_data[[#This Row],[Circulating_Supply($)]]</f>
        <v>3.2941060053188198E-3</v>
      </c>
      <c r="K115">
        <f>RANK(Cleaned_data[[#This Row],[  Market Cap]],Cleaned_data[ [  Market Cap] ],0)</f>
        <v>114</v>
      </c>
      <c r="L115" t="str">
        <f t="shared" si="33"/>
        <v>0-0.5</v>
      </c>
      <c r="M115">
        <f t="shared" si="34"/>
        <v>1.6670000000000001E-2</v>
      </c>
      <c r="N115" t="str">
        <f t="shared" si="35"/>
        <v>Hide</v>
      </c>
      <c r="O115" t="str">
        <f t="shared" si="36"/>
        <v>0-50</v>
      </c>
      <c r="P115">
        <f t="shared" si="37"/>
        <v>1.664004791375524E-2</v>
      </c>
      <c r="Q115" t="str">
        <f t="shared" si="38"/>
        <v>Up to $10</v>
      </c>
      <c r="R115">
        <f t="shared" si="39"/>
        <v>1.6504950495049506E-2</v>
      </c>
      <c r="S115">
        <f t="shared" si="40"/>
        <v>1.26E-2</v>
      </c>
      <c r="T115">
        <f t="shared" si="41"/>
        <v>1.646257159786688E-2</v>
      </c>
      <c r="U115">
        <f t="shared" si="30"/>
        <v>-0.01</v>
      </c>
      <c r="V115">
        <f t="shared" si="42"/>
        <v>1.4666666666666665E-3</v>
      </c>
      <c r="W115" t="str">
        <f t="shared" si="43"/>
        <v>0-0.05</v>
      </c>
    </row>
    <row r="116" spans="1:23">
      <c r="A116" t="s">
        <v>629</v>
      </c>
      <c r="B116" t="s">
        <v>630</v>
      </c>
      <c r="C116" s="6">
        <v>8.0839999999999992E-3</v>
      </c>
      <c r="D116">
        <v>1.7299999999999999E-2</v>
      </c>
      <c r="E116" t="s">
        <v>1173</v>
      </c>
      <c r="F116">
        <v>515608</v>
      </c>
      <c r="G116" t="s">
        <v>634</v>
      </c>
      <c r="H116">
        <v>999440000</v>
      </c>
      <c r="I116">
        <v>8080000</v>
      </c>
      <c r="J116">
        <f>Cleaned_data[[#This Row],[Volume (24h) USD]]/Cleaned_data[[#This Row],[Circulating_Supply($)]]</f>
        <v>5.1589690226526853E-4</v>
      </c>
      <c r="K116">
        <f>RANK(Cleaned_data[[#This Row],[  Market Cap]],Cleaned_data[ [  Market Cap] ],0)</f>
        <v>115</v>
      </c>
      <c r="L116" t="str">
        <f t="shared" si="33"/>
        <v>0-0.5</v>
      </c>
      <c r="M116">
        <f t="shared" si="34"/>
        <v>8.0839999999999992E-3</v>
      </c>
      <c r="N116" t="str">
        <f t="shared" si="35"/>
        <v>Hide</v>
      </c>
      <c r="O116" t="str">
        <f t="shared" si="36"/>
        <v>0-50</v>
      </c>
      <c r="P116">
        <f t="shared" si="37"/>
        <v>7.9465251155018176E-3</v>
      </c>
      <c r="Q116" t="str">
        <f t="shared" si="38"/>
        <v>Up to $10</v>
      </c>
      <c r="R116">
        <f t="shared" si="39"/>
        <v>8.0039603960396031E-3</v>
      </c>
      <c r="S116">
        <f t="shared" si="40"/>
        <v>0.1211</v>
      </c>
      <c r="T116">
        <f t="shared" si="41"/>
        <v>7.2107751315672102E-3</v>
      </c>
      <c r="U116">
        <f t="shared" si="30"/>
        <v>-0.01</v>
      </c>
      <c r="V116">
        <f t="shared" si="42"/>
        <v>4.2799999999999998E-2</v>
      </c>
      <c r="W116" t="str">
        <f t="shared" si="43"/>
        <v>0-0.05</v>
      </c>
    </row>
    <row r="117" spans="1:23">
      <c r="A117" t="s">
        <v>635</v>
      </c>
      <c r="B117" t="s">
        <v>636</v>
      </c>
      <c r="C117" s="6">
        <v>1.194E-4</v>
      </c>
      <c r="D117">
        <v>4.8999999999999998E-3</v>
      </c>
      <c r="E117" t="s">
        <v>1174</v>
      </c>
      <c r="F117">
        <v>486718</v>
      </c>
      <c r="G117" t="s">
        <v>639</v>
      </c>
      <c r="H117">
        <v>67540000000.000008</v>
      </c>
      <c r="I117">
        <v>8070000</v>
      </c>
      <c r="J117">
        <f>Cleaned_data[[#This Row],[Volume (24h) USD]]/Cleaned_data[[#This Row],[Circulating_Supply($)]]</f>
        <v>7.2063665975718082E-6</v>
      </c>
      <c r="K117">
        <f>RANK(Cleaned_data[[#This Row],[  Market Cap]],Cleaned_data[ [  Market Cap] ],0)</f>
        <v>116</v>
      </c>
      <c r="L117" t="str">
        <f t="shared" si="33"/>
        <v>0-0.5</v>
      </c>
      <c r="M117">
        <f t="shared" si="34"/>
        <v>1.194E-4</v>
      </c>
      <c r="N117" t="str">
        <f t="shared" si="35"/>
        <v>Show</v>
      </c>
      <c r="O117" t="str">
        <f t="shared" si="36"/>
        <v>0-50</v>
      </c>
      <c r="P117">
        <f t="shared" si="37"/>
        <v>1.1881779281520551E-4</v>
      </c>
      <c r="Q117" t="str">
        <f t="shared" si="38"/>
        <v>Up to $10</v>
      </c>
      <c r="R117">
        <f t="shared" si="39"/>
        <v>1.1821782178217822E-4</v>
      </c>
      <c r="S117">
        <f t="shared" si="40"/>
        <v>3.4299999999999997E-2</v>
      </c>
      <c r="T117">
        <f t="shared" si="41"/>
        <v>1.1544039446968965E-4</v>
      </c>
      <c r="U117">
        <f t="shared" si="30"/>
        <v>-0.01</v>
      </c>
      <c r="V117">
        <f t="shared" si="42"/>
        <v>9.7333333333333317E-3</v>
      </c>
      <c r="W117" t="str">
        <f t="shared" si="43"/>
        <v>0-0.05</v>
      </c>
    </row>
    <row r="118" spans="1:23">
      <c r="A118" t="s">
        <v>640</v>
      </c>
      <c r="B118" t="s">
        <v>641</v>
      </c>
      <c r="C118" s="6">
        <v>7.1915999999999994E-2</v>
      </c>
      <c r="D118">
        <v>7.7999999999999996E-3</v>
      </c>
      <c r="E118" t="s">
        <v>1175</v>
      </c>
      <c r="F118">
        <v>3858925</v>
      </c>
      <c r="G118" t="s">
        <v>645</v>
      </c>
      <c r="H118">
        <v>420690000000000</v>
      </c>
      <c r="I118">
        <v>8060000</v>
      </c>
      <c r="J118">
        <f>Cleaned_data[[#This Row],[Volume (24h) USD]]/Cleaned_data[[#This Row],[Circulating_Supply($)]]</f>
        <v>9.1728469894696811E-9</v>
      </c>
      <c r="K118">
        <f>RANK(Cleaned_data[[#This Row],[  Market Cap]],Cleaned_data[ [  Market Cap] ],0)</f>
        <v>117</v>
      </c>
      <c r="L118" t="str">
        <f t="shared" si="33"/>
        <v>0-0.5</v>
      </c>
      <c r="M118">
        <f t="shared" si="34"/>
        <v>7.1915999999999994E-2</v>
      </c>
      <c r="N118" t="str">
        <f t="shared" si="35"/>
        <v>Show</v>
      </c>
      <c r="O118" t="str">
        <f t="shared" si="36"/>
        <v>0-50</v>
      </c>
      <c r="P118">
        <f t="shared" si="37"/>
        <v>7.1359396705695563E-2</v>
      </c>
      <c r="Q118" t="str">
        <f t="shared" si="38"/>
        <v>Up to $10</v>
      </c>
      <c r="R118">
        <f t="shared" si="39"/>
        <v>7.1203960396039601E-2</v>
      </c>
      <c r="S118">
        <f t="shared" si="40"/>
        <v>5.4599999999999996E-2</v>
      </c>
      <c r="T118">
        <f t="shared" si="41"/>
        <v>6.81926796889816E-2</v>
      </c>
      <c r="U118">
        <f t="shared" si="30"/>
        <v>-0.01</v>
      </c>
      <c r="V118">
        <f t="shared" si="42"/>
        <v>1.7466666666666665E-2</v>
      </c>
      <c r="W118" t="str">
        <f t="shared" si="43"/>
        <v>0.05-0.5</v>
      </c>
    </row>
    <row r="119" spans="1:23">
      <c r="A119" t="s">
        <v>646</v>
      </c>
      <c r="B119" t="s">
        <v>647</v>
      </c>
      <c r="C119" s="6">
        <v>9.1490000000000002E-2</v>
      </c>
      <c r="D119">
        <v>5.9999999999999995E-4</v>
      </c>
      <c r="E119" t="s">
        <v>1176</v>
      </c>
      <c r="F119">
        <v>1531126</v>
      </c>
      <c r="G119" t="s">
        <v>651</v>
      </c>
      <c r="H119">
        <v>88020000</v>
      </c>
      <c r="I119">
        <v>8050000</v>
      </c>
      <c r="J119">
        <f>Cleaned_data[[#This Row],[Volume (24h) USD]]/Cleaned_data[[#This Row],[Circulating_Supply($)]]</f>
        <v>1.7395205635082935E-2</v>
      </c>
      <c r="K119">
        <f>RANK(Cleaned_data[[#This Row],[  Market Cap]],Cleaned_data[ [  Market Cap] ],0)</f>
        <v>118</v>
      </c>
      <c r="L119" t="str">
        <f t="shared" si="33"/>
        <v>0-0.5</v>
      </c>
      <c r="M119">
        <f t="shared" si="34"/>
        <v>9.1490000000000002E-2</v>
      </c>
      <c r="N119" t="str">
        <f t="shared" si="35"/>
        <v>Hide</v>
      </c>
      <c r="O119" t="str">
        <f t="shared" si="36"/>
        <v>0-50</v>
      </c>
      <c r="P119">
        <f t="shared" si="37"/>
        <v>9.1435138916650019E-2</v>
      </c>
      <c r="Q119" t="str">
        <f t="shared" si="38"/>
        <v>Up to $10</v>
      </c>
      <c r="R119">
        <f t="shared" si="39"/>
        <v>9.0584158415841581E-2</v>
      </c>
      <c r="S119">
        <f t="shared" si="40"/>
        <v>4.1999999999999997E-3</v>
      </c>
      <c r="T119">
        <f t="shared" si="41"/>
        <v>9.1107349133638715E-2</v>
      </c>
      <c r="U119">
        <f t="shared" si="30"/>
        <v>-0.01</v>
      </c>
      <c r="V119">
        <f t="shared" si="42"/>
        <v>1.7333333333333335E-3</v>
      </c>
      <c r="W119" t="str">
        <f t="shared" si="43"/>
        <v>0.05-0.5</v>
      </c>
    </row>
    <row r="120" spans="1:23">
      <c r="A120" t="s">
        <v>652</v>
      </c>
      <c r="B120" t="s">
        <v>653</v>
      </c>
      <c r="C120" s="6">
        <v>53.51</v>
      </c>
      <c r="D120">
        <v>1E-3</v>
      </c>
      <c r="E120" t="s">
        <v>1177</v>
      </c>
      <c r="F120">
        <v>2421276</v>
      </c>
      <c r="G120" t="s">
        <v>656</v>
      </c>
      <c r="H120">
        <v>113880</v>
      </c>
      <c r="I120">
        <v>6090000</v>
      </c>
      <c r="J120">
        <f>Cleaned_data[[#This Row],[Volume (24h) USD]]/Cleaned_data[[#This Row],[Circulating_Supply($)]]</f>
        <v>21.261643835616439</v>
      </c>
      <c r="K120">
        <f>RANK(Cleaned_data[[#This Row],[  Market Cap]],Cleaned_data[ [  Market Cap] ],0)</f>
        <v>119</v>
      </c>
      <c r="L120" t="str">
        <f t="shared" si="33"/>
        <v>10-100</v>
      </c>
      <c r="M120">
        <f t="shared" si="34"/>
        <v>53.51</v>
      </c>
      <c r="N120" t="str">
        <f t="shared" si="35"/>
        <v>Show</v>
      </c>
      <c r="O120" t="str">
        <f t="shared" si="36"/>
        <v>Above 50</v>
      </c>
      <c r="P120">
        <f t="shared" si="37"/>
        <v>53.456543456543457</v>
      </c>
      <c r="Q120" t="str">
        <f t="shared" si="38"/>
        <v>&gt;= $10</v>
      </c>
      <c r="R120">
        <f t="shared" si="39"/>
        <v>52.980198019801975</v>
      </c>
      <c r="S120">
        <f t="shared" si="40"/>
        <v>7.0000000000000001E-3</v>
      </c>
      <c r="T120">
        <f t="shared" si="41"/>
        <v>53.13803376365442</v>
      </c>
      <c r="U120">
        <f t="shared" si="30"/>
        <v>-0.01</v>
      </c>
      <c r="V120">
        <f t="shared" si="42"/>
        <v>6.6666666666666697E-4</v>
      </c>
      <c r="W120" t="str">
        <f t="shared" si="43"/>
        <v>&gt;$50</v>
      </c>
    </row>
    <row r="121" spans="1:23">
      <c r="A121" t="s">
        <v>657</v>
      </c>
      <c r="B121" t="s">
        <v>658</v>
      </c>
      <c r="C121" s="6">
        <v>1.4600000000000001E-5</v>
      </c>
      <c r="D121">
        <v>1.5E-3</v>
      </c>
      <c r="E121" t="s">
        <v>1177</v>
      </c>
      <c r="F121">
        <v>262754</v>
      </c>
      <c r="G121" t="s">
        <v>661</v>
      </c>
      <c r="H121">
        <v>417210000000</v>
      </c>
      <c r="I121">
        <v>6090000</v>
      </c>
      <c r="J121">
        <f>Cleaned_data[[#This Row],[Volume (24h) USD]]/Cleaned_data[[#This Row],[Circulating_Supply($)]]</f>
        <v>6.297883559837971E-7</v>
      </c>
      <c r="K121">
        <f>RANK(Cleaned_data[[#This Row],[  Market Cap]],Cleaned_data[ [  Market Cap] ],0)</f>
        <v>119</v>
      </c>
      <c r="L121" t="str">
        <f t="shared" si="33"/>
        <v>0-0.5</v>
      </c>
      <c r="M121">
        <f t="shared" si="34"/>
        <v>1.4600000000000001E-5</v>
      </c>
      <c r="N121" t="str">
        <f t="shared" si="35"/>
        <v>Hide</v>
      </c>
      <c r="O121" t="str">
        <f t="shared" si="36"/>
        <v>0-50</v>
      </c>
      <c r="P121">
        <f t="shared" si="37"/>
        <v>1.4578132800798802E-5</v>
      </c>
      <c r="Q121" t="str">
        <f t="shared" si="38"/>
        <v>Up to $10</v>
      </c>
      <c r="R121">
        <f t="shared" si="39"/>
        <v>1.4455445544554456E-5</v>
      </c>
      <c r="S121">
        <f t="shared" si="40"/>
        <v>1.0500000000000001E-2</v>
      </c>
      <c r="T121">
        <f t="shared" si="41"/>
        <v>1.4448292924294905E-5</v>
      </c>
      <c r="U121">
        <f t="shared" si="30"/>
        <v>-0.01</v>
      </c>
      <c r="V121">
        <f t="shared" si="42"/>
        <v>6.6666666666666664E-4</v>
      </c>
      <c r="W121" t="str">
        <f t="shared" si="43"/>
        <v>0-0.05</v>
      </c>
    </row>
    <row r="122" spans="1:23">
      <c r="A122" t="s">
        <v>662</v>
      </c>
      <c r="B122" t="s">
        <v>663</v>
      </c>
      <c r="C122" s="6">
        <v>1.175E-3</v>
      </c>
      <c r="D122">
        <v>1.5E-3</v>
      </c>
      <c r="E122" t="s">
        <v>1177</v>
      </c>
      <c r="F122">
        <v>1752311</v>
      </c>
      <c r="G122" t="s">
        <v>666</v>
      </c>
      <c r="H122">
        <v>5170000000</v>
      </c>
      <c r="I122">
        <v>6090000</v>
      </c>
      <c r="J122">
        <f>Cleaned_data[[#This Row],[Volume (24h) USD]]/Cleaned_data[[#This Row],[Circulating_Supply($)]]</f>
        <v>3.389382978723404E-4</v>
      </c>
      <c r="K122">
        <f>RANK(Cleaned_data[[#This Row],[  Market Cap]],Cleaned_data[ [  Market Cap] ],0)</f>
        <v>119</v>
      </c>
      <c r="L122" t="str">
        <f t="shared" si="33"/>
        <v>0-0.5</v>
      </c>
      <c r="M122">
        <f t="shared" si="34"/>
        <v>1.175E-3</v>
      </c>
      <c r="N122" t="str">
        <f t="shared" si="35"/>
        <v>Show</v>
      </c>
      <c r="O122" t="str">
        <f t="shared" si="36"/>
        <v>0-50</v>
      </c>
      <c r="P122">
        <f t="shared" si="37"/>
        <v>1.1732401397903146E-3</v>
      </c>
      <c r="Q122" t="str">
        <f t="shared" si="38"/>
        <v>Up to $10</v>
      </c>
      <c r="R122">
        <f t="shared" si="39"/>
        <v>1.1633663366336633E-3</v>
      </c>
      <c r="S122">
        <f t="shared" si="40"/>
        <v>1.0500000000000001E-2</v>
      </c>
      <c r="T122">
        <f t="shared" si="41"/>
        <v>1.1627906976744188E-3</v>
      </c>
      <c r="U122">
        <f t="shared" si="30"/>
        <v>-0.01</v>
      </c>
      <c r="V122">
        <f t="shared" si="42"/>
        <v>6.6666666666666664E-4</v>
      </c>
      <c r="W122" t="str">
        <f t="shared" si="43"/>
        <v>0-0.05</v>
      </c>
    </row>
    <row r="123" spans="1:23">
      <c r="A123" t="s">
        <v>667</v>
      </c>
      <c r="B123" t="s">
        <v>668</v>
      </c>
      <c r="C123" s="6">
        <v>2.1800000000000001E-3</v>
      </c>
      <c r="D123">
        <v>2.3999999999999998E-3</v>
      </c>
      <c r="E123" t="s">
        <v>1177</v>
      </c>
      <c r="F123">
        <v>117839</v>
      </c>
      <c r="G123" t="s">
        <v>672</v>
      </c>
      <c r="H123">
        <v>2790000000</v>
      </c>
      <c r="I123">
        <v>6090000</v>
      </c>
      <c r="J123">
        <f>Cleaned_data[[#This Row],[Volume (24h) USD]]/Cleaned_data[[#This Row],[Circulating_Supply($)]]</f>
        <v>4.2236200716845881E-5</v>
      </c>
      <c r="K123">
        <f>RANK(Cleaned_data[[#This Row],[  Market Cap]],Cleaned_data[ [  Market Cap] ],0)</f>
        <v>119</v>
      </c>
      <c r="L123" t="str">
        <f t="shared" si="33"/>
        <v>0-0.5</v>
      </c>
      <c r="M123">
        <f t="shared" si="34"/>
        <v>2.1800000000000001E-3</v>
      </c>
      <c r="N123" t="str">
        <f t="shared" si="35"/>
        <v>Show</v>
      </c>
      <c r="O123" t="str">
        <f t="shared" si="36"/>
        <v>0-50</v>
      </c>
      <c r="P123">
        <f t="shared" si="37"/>
        <v>2.1747805267358341E-3</v>
      </c>
      <c r="Q123" t="str">
        <f t="shared" si="38"/>
        <v>Up to $10</v>
      </c>
      <c r="R123">
        <f t="shared" si="39"/>
        <v>2.1584158415841586E-3</v>
      </c>
      <c r="S123">
        <f t="shared" si="40"/>
        <v>1.6799999999999999E-2</v>
      </c>
      <c r="T123">
        <f t="shared" si="41"/>
        <v>2.1439811172305275E-3</v>
      </c>
      <c r="U123">
        <f t="shared" si="30"/>
        <v>-0.01</v>
      </c>
      <c r="V123">
        <f t="shared" si="42"/>
        <v>3.0666666666666659E-3</v>
      </c>
      <c r="W123" t="str">
        <f t="shared" si="43"/>
        <v>0-0.05</v>
      </c>
    </row>
    <row r="124" spans="1:23">
      <c r="A124" t="s">
        <v>673</v>
      </c>
      <c r="B124" t="s">
        <v>674</v>
      </c>
      <c r="C124" s="6">
        <v>0.14180000000000001</v>
      </c>
      <c r="D124">
        <v>1.04E-2</v>
      </c>
      <c r="E124" t="s">
        <v>1178</v>
      </c>
      <c r="F124">
        <v>159795</v>
      </c>
      <c r="G124" t="s">
        <v>678</v>
      </c>
      <c r="H124">
        <v>42870000</v>
      </c>
      <c r="I124">
        <v>6080000</v>
      </c>
      <c r="J124">
        <f>Cleaned_data[[#This Row],[Volume (24h) USD]]/Cleaned_data[[#This Row],[Circulating_Supply($)]]</f>
        <v>3.7274317704688595E-3</v>
      </c>
      <c r="K124">
        <f>RANK(Cleaned_data[[#This Row],[  Market Cap]],Cleaned_data[ [  Market Cap] ],0)</f>
        <v>123</v>
      </c>
      <c r="L124" t="str">
        <f t="shared" si="33"/>
        <v>0-0.5</v>
      </c>
      <c r="M124">
        <f t="shared" si="34"/>
        <v>0.14180000000000001</v>
      </c>
      <c r="N124" t="str">
        <f t="shared" si="35"/>
        <v>Hide</v>
      </c>
      <c r="O124" t="str">
        <f t="shared" si="36"/>
        <v>0-50</v>
      </c>
      <c r="P124">
        <f t="shared" si="37"/>
        <v>0.14034045922406968</v>
      </c>
      <c r="Q124" t="str">
        <f t="shared" si="38"/>
        <v>Up to $10</v>
      </c>
      <c r="R124">
        <f t="shared" si="39"/>
        <v>0.14039603960396041</v>
      </c>
      <c r="S124">
        <f t="shared" si="40"/>
        <v>7.2800000000000004E-2</v>
      </c>
      <c r="T124">
        <f t="shared" si="41"/>
        <v>0.13217747949291575</v>
      </c>
      <c r="U124">
        <f t="shared" si="30"/>
        <v>-0.01</v>
      </c>
      <c r="V124">
        <f t="shared" si="42"/>
        <v>2.4400000000000002E-2</v>
      </c>
      <c r="W124" t="str">
        <f t="shared" si="43"/>
        <v>0.05-0.5</v>
      </c>
    </row>
    <row r="125" spans="1:23">
      <c r="A125" t="s">
        <v>679</v>
      </c>
      <c r="B125" t="s">
        <v>680</v>
      </c>
      <c r="C125" s="6">
        <v>1.346E-3</v>
      </c>
      <c r="D125">
        <v>1.3100000000000001E-2</v>
      </c>
      <c r="E125" t="s">
        <v>1179</v>
      </c>
      <c r="F125">
        <v>53778</v>
      </c>
      <c r="G125" t="s">
        <v>684</v>
      </c>
      <c r="H125">
        <v>4500000000</v>
      </c>
      <c r="I125">
        <v>6060000</v>
      </c>
      <c r="J125">
        <f>Cleaned_data[[#This Row],[Volume (24h) USD]]/Cleaned_data[[#This Row],[Circulating_Supply($)]]</f>
        <v>1.1950666666666667E-5</v>
      </c>
      <c r="K125">
        <f>RANK(Cleaned_data[[#This Row],[  Market Cap]],Cleaned_data[ [  Market Cap] ],0)</f>
        <v>124</v>
      </c>
      <c r="L125" t="str">
        <f t="shared" si="33"/>
        <v>0-0.5</v>
      </c>
      <c r="M125">
        <f t="shared" si="34"/>
        <v>1.346E-3</v>
      </c>
      <c r="N125" t="str">
        <f t="shared" si="35"/>
        <v>Hide</v>
      </c>
      <c r="O125" t="str">
        <f t="shared" si="36"/>
        <v>0-50</v>
      </c>
      <c r="P125">
        <f t="shared" si="37"/>
        <v>1.3285954002566379E-3</v>
      </c>
      <c r="Q125" t="str">
        <f t="shared" si="38"/>
        <v>Up to $10</v>
      </c>
      <c r="R125">
        <f t="shared" si="39"/>
        <v>1.3326732673267327E-3</v>
      </c>
      <c r="S125">
        <f t="shared" si="40"/>
        <v>9.1700000000000004E-2</v>
      </c>
      <c r="T125">
        <f t="shared" si="41"/>
        <v>1.2329394522304664E-3</v>
      </c>
      <c r="U125">
        <f t="shared" si="30"/>
        <v>-0.01</v>
      </c>
      <c r="V125">
        <f t="shared" si="42"/>
        <v>3.1600000000000003E-2</v>
      </c>
      <c r="W125" t="str">
        <f t="shared" si="43"/>
        <v>0-0.05</v>
      </c>
    </row>
    <row r="126" spans="1:23">
      <c r="A126" t="s">
        <v>685</v>
      </c>
      <c r="B126" t="s">
        <v>686</v>
      </c>
      <c r="C126" s="6">
        <v>9.196E-2</v>
      </c>
      <c r="D126">
        <v>8.6E-3</v>
      </c>
      <c r="E126" t="s">
        <v>1180</v>
      </c>
      <c r="F126">
        <v>10399</v>
      </c>
      <c r="G126" t="s">
        <v>690</v>
      </c>
      <c r="H126">
        <v>65720000</v>
      </c>
      <c r="I126">
        <v>6040000</v>
      </c>
      <c r="J126">
        <f>Cleaned_data[[#This Row],[Volume (24h) USD]]/Cleaned_data[[#This Row],[Circulating_Supply($)]]</f>
        <v>1.582318928788801E-4</v>
      </c>
      <c r="K126">
        <f>RANK(Cleaned_data[[#This Row],[  Market Cap]],Cleaned_data[ [  Market Cap] ],0)</f>
        <v>125</v>
      </c>
      <c r="L126" t="str">
        <f t="shared" si="33"/>
        <v>0-0.5</v>
      </c>
      <c r="M126">
        <f t="shared" si="34"/>
        <v>9.196E-2</v>
      </c>
      <c r="N126" t="str">
        <f t="shared" si="35"/>
        <v>Hide</v>
      </c>
      <c r="O126" t="str">
        <f t="shared" si="36"/>
        <v>0-50</v>
      </c>
      <c r="P126">
        <f t="shared" si="37"/>
        <v>9.117588736862979E-2</v>
      </c>
      <c r="Q126" t="str">
        <f t="shared" si="38"/>
        <v>Up to $10</v>
      </c>
      <c r="R126">
        <f t="shared" si="39"/>
        <v>9.1049504950495047E-2</v>
      </c>
      <c r="S126">
        <f t="shared" si="40"/>
        <v>6.0200000000000004E-2</v>
      </c>
      <c r="T126">
        <f t="shared" si="41"/>
        <v>8.6738351254480289E-2</v>
      </c>
      <c r="U126">
        <f t="shared" si="30"/>
        <v>-0.01</v>
      </c>
      <c r="V126">
        <f t="shared" si="42"/>
        <v>1.9600000000000003E-2</v>
      </c>
      <c r="W126" t="str">
        <f t="shared" si="43"/>
        <v>0.05-0.5</v>
      </c>
    </row>
    <row r="127" spans="1:23">
      <c r="A127" t="s">
        <v>691</v>
      </c>
      <c r="B127" t="s">
        <v>691</v>
      </c>
      <c r="C127" s="6">
        <v>6.2080000000000002E-4</v>
      </c>
      <c r="D127">
        <v>3.0999999999999999E-3</v>
      </c>
      <c r="E127" t="s">
        <v>1181</v>
      </c>
      <c r="F127">
        <v>89488</v>
      </c>
      <c r="G127" t="s">
        <v>694</v>
      </c>
      <c r="H127">
        <v>9680000000</v>
      </c>
      <c r="I127">
        <v>6010000</v>
      </c>
      <c r="J127">
        <f>Cleaned_data[[#This Row],[Volume (24h) USD]]/Cleaned_data[[#This Row],[Circulating_Supply($)]]</f>
        <v>9.2446280991735544E-6</v>
      </c>
      <c r="K127">
        <f>RANK(Cleaned_data[[#This Row],[  Market Cap]],Cleaned_data[ [  Market Cap] ],0)</f>
        <v>126</v>
      </c>
      <c r="L127" t="str">
        <f t="shared" si="33"/>
        <v>0-0.5</v>
      </c>
      <c r="M127">
        <f t="shared" si="34"/>
        <v>6.2080000000000002E-4</v>
      </c>
      <c r="N127" t="str">
        <f t="shared" si="35"/>
        <v>Hide</v>
      </c>
      <c r="O127" t="str">
        <f t="shared" si="36"/>
        <v>0-50</v>
      </c>
      <c r="P127">
        <f t="shared" si="37"/>
        <v>6.1888146745090215E-4</v>
      </c>
      <c r="Q127" t="str">
        <f t="shared" si="38"/>
        <v>Up to $10</v>
      </c>
      <c r="R127">
        <f t="shared" si="39"/>
        <v>6.1465346534653469E-4</v>
      </c>
      <c r="S127">
        <f t="shared" si="40"/>
        <v>2.1700000000000001E-2</v>
      </c>
      <c r="T127">
        <f t="shared" si="41"/>
        <v>6.0761475971420184E-4</v>
      </c>
      <c r="U127">
        <f t="shared" si="30"/>
        <v>-0.01</v>
      </c>
      <c r="V127">
        <f t="shared" si="42"/>
        <v>4.9333333333333338E-3</v>
      </c>
      <c r="W127" t="str">
        <f t="shared" si="43"/>
        <v>0-0.05</v>
      </c>
    </row>
    <row r="128" spans="1:23">
      <c r="A128" t="s">
        <v>695</v>
      </c>
      <c r="B128" t="s">
        <v>696</v>
      </c>
      <c r="C128" s="6">
        <v>6.1045000000000002E-2</v>
      </c>
      <c r="D128">
        <v>1E-4</v>
      </c>
      <c r="E128" t="s">
        <v>1182</v>
      </c>
      <c r="F128">
        <v>363958</v>
      </c>
      <c r="G128" t="s">
        <v>699</v>
      </c>
      <c r="H128">
        <v>57270000000000</v>
      </c>
      <c r="I128">
        <v>5990000</v>
      </c>
      <c r="J128">
        <f>Cleaned_data[[#This Row],[Volume (24h) USD]]/Cleaned_data[[#This Row],[Circulating_Supply($)]]</f>
        <v>6.3551248472149472E-9</v>
      </c>
      <c r="K128">
        <f>RANK(Cleaned_data[[#This Row],[  Market Cap]],Cleaned_data[ [  Market Cap] ],0)</f>
        <v>127</v>
      </c>
      <c r="L128" t="str">
        <f t="shared" si="33"/>
        <v>0-0.5</v>
      </c>
      <c r="M128">
        <f t="shared" si="34"/>
        <v>6.1045000000000002E-2</v>
      </c>
      <c r="N128" t="str">
        <f t="shared" si="35"/>
        <v>Show</v>
      </c>
      <c r="O128" t="str">
        <f t="shared" si="36"/>
        <v>0-50</v>
      </c>
      <c r="P128">
        <f t="shared" si="37"/>
        <v>6.1038896110388964E-2</v>
      </c>
      <c r="Q128" t="str">
        <f t="shared" si="38"/>
        <v>Up to $10</v>
      </c>
      <c r="R128">
        <f t="shared" si="39"/>
        <v>6.0440594059405939E-2</v>
      </c>
      <c r="S128">
        <f t="shared" si="40"/>
        <v>6.9999999999999999E-4</v>
      </c>
      <c r="T128">
        <f t="shared" si="41"/>
        <v>6.1002298391126218E-2</v>
      </c>
      <c r="U128">
        <f t="shared" si="30"/>
        <v>-0.01</v>
      </c>
      <c r="V128">
        <f t="shared" si="42"/>
        <v>3.0666666666666672E-3</v>
      </c>
      <c r="W128" t="str">
        <f t="shared" si="43"/>
        <v>0.05-0.5</v>
      </c>
    </row>
    <row r="129" spans="1:23">
      <c r="A129" t="s">
        <v>700</v>
      </c>
      <c r="B129" t="s">
        <v>701</v>
      </c>
      <c r="C129" s="6">
        <v>8.5963999999999999E-2</v>
      </c>
      <c r="D129">
        <v>6.0000000000000001E-3</v>
      </c>
      <c r="E129" t="s">
        <v>1183</v>
      </c>
      <c r="F129">
        <v>2924315</v>
      </c>
      <c r="G129" t="s">
        <v>704</v>
      </c>
      <c r="I129">
        <v>5960000</v>
      </c>
      <c r="J129" t="e">
        <f>Cleaned_data[[#This Row],[Volume (24h) USD]]/Cleaned_data[[#This Row],[Circulating_Supply($)]]</f>
        <v>#DIV/0!</v>
      </c>
      <c r="K129">
        <f>RANK(Cleaned_data[[#This Row],[  Market Cap]],Cleaned_data[ [  Market Cap] ],0)</f>
        <v>128</v>
      </c>
      <c r="L129" t="str">
        <f t="shared" si="33"/>
        <v>0-0.5</v>
      </c>
      <c r="M129">
        <f t="shared" si="34"/>
        <v>8.5963999999999999E-2</v>
      </c>
      <c r="N129" t="str">
        <f t="shared" si="35"/>
        <v>Hide</v>
      </c>
      <c r="O129" t="str">
        <f t="shared" si="36"/>
        <v>0-50</v>
      </c>
      <c r="P129">
        <f t="shared" si="37"/>
        <v>8.5451292246520871E-2</v>
      </c>
      <c r="Q129" t="str">
        <f t="shared" si="38"/>
        <v>Up to $10</v>
      </c>
      <c r="R129">
        <f t="shared" si="39"/>
        <v>8.5112871287128716E-2</v>
      </c>
      <c r="S129">
        <f t="shared" si="40"/>
        <v>4.2000000000000003E-2</v>
      </c>
      <c r="T129">
        <f t="shared" si="41"/>
        <v>8.2499040307101729E-2</v>
      </c>
      <c r="U129">
        <f t="shared" si="30"/>
        <v>-0.01</v>
      </c>
      <c r="V129">
        <f t="shared" si="42"/>
        <v>1.2666666666666668E-2</v>
      </c>
      <c r="W129" t="str">
        <f t="shared" si="43"/>
        <v>0.05-0.5</v>
      </c>
    </row>
    <row r="130" spans="1:23">
      <c r="A130" t="s">
        <v>705</v>
      </c>
      <c r="B130" t="s">
        <v>706</v>
      </c>
      <c r="C130" s="6">
        <v>3.576E-2</v>
      </c>
      <c r="D130">
        <v>4.3E-3</v>
      </c>
      <c r="E130" t="s">
        <v>1184</v>
      </c>
      <c r="F130">
        <v>682</v>
      </c>
      <c r="G130" t="s">
        <v>710</v>
      </c>
      <c r="H130">
        <v>131430000</v>
      </c>
      <c r="I130">
        <v>4700000</v>
      </c>
      <c r="J130">
        <f>Cleaned_data[[#This Row],[Volume (24h) USD]]/Cleaned_data[[#This Row],[Circulating_Supply($)]]</f>
        <v>5.1890740318040023E-6</v>
      </c>
      <c r="K130">
        <f>RANK(Cleaned_data[[#This Row],[  Market Cap]],Cleaned_data[ [  Market Cap] ],0)</f>
        <v>129</v>
      </c>
      <c r="L130" t="str">
        <f t="shared" si="33"/>
        <v>0-0.5</v>
      </c>
      <c r="M130">
        <f t="shared" ref="M130:M161" si="44">VALUE(C130)</f>
        <v>3.576E-2</v>
      </c>
      <c r="N130" t="str">
        <f t="shared" ref="N130:N161" si="45">IF(OR(LEFT(A130,1)="A",LEFT(A130,1)="E",LEFT(A130,1)="I",LEFT(A130,1)="O",LEFT(A130,1)="U",LEFT(A130,1)="B",LEFT(A130,1)="C",LEFT(A130,1)="D"),"Show","Hide")</f>
        <v>Hide</v>
      </c>
      <c r="O130" t="str">
        <f t="shared" ref="O130:O161" si="46">IF(C130&lt;=50,"0-50","Above 50")</f>
        <v>0-50</v>
      </c>
      <c r="P130">
        <f t="shared" ref="P130:P161" si="47">C130/(1+D130)</f>
        <v>3.5606890371402966E-2</v>
      </c>
      <c r="Q130" t="str">
        <f t="shared" ref="Q130:Q161" si="48">IF(M130&lt;10,"Up to $10","&gt;= $10")</f>
        <v>Up to $10</v>
      </c>
      <c r="R130">
        <f t="shared" ref="R130:R161" si="49">M130/(1-U130)</f>
        <v>3.5405940594059403E-2</v>
      </c>
      <c r="S130">
        <f t="shared" ref="S130:S161" si="50">D130*7</f>
        <v>3.0100000000000002E-2</v>
      </c>
      <c r="T130">
        <f t="shared" ref="T130:T161" si="51" xml:space="preserve"> M130/(1+S130)</f>
        <v>3.4715076206193574E-2</v>
      </c>
      <c r="U130">
        <f t="shared" ref="U130:U193" si="52">-0.01</f>
        <v>-0.01</v>
      </c>
      <c r="V130">
        <f t="shared" ref="V130:V161" si="53">ABS(AVERAGE(D130,U130,S130))</f>
        <v>8.1333333333333344E-3</v>
      </c>
      <c r="W130" t="str">
        <f t="shared" ref="W130:W161" si="54">IF(M130&lt;=0.05,"0-0.05",
IF(M130&lt;=0.5,"0.05-0.5",
IF(M130&lt;=5,"0.5-5",
IF(M130&lt;=50,"5-50",
"&gt;$50"))))</f>
        <v>0-0.05</v>
      </c>
    </row>
    <row r="131" spans="1:23">
      <c r="A131" t="s">
        <v>711</v>
      </c>
      <c r="B131" t="s">
        <v>712</v>
      </c>
      <c r="C131" s="6">
        <v>2.3699999999999999E-2</v>
      </c>
      <c r="D131">
        <v>6.0000000000000001E-3</v>
      </c>
      <c r="E131" t="s">
        <v>1185</v>
      </c>
      <c r="F131">
        <v>14121</v>
      </c>
      <c r="G131" t="s">
        <v>715</v>
      </c>
      <c r="H131">
        <v>195420000</v>
      </c>
      <c r="I131">
        <v>4630000</v>
      </c>
      <c r="J131">
        <f>Cleaned_data[[#This Row],[Volume (24h) USD]]/Cleaned_data[[#This Row],[Circulating_Supply($)]]</f>
        <v>7.2259748234571687E-5</v>
      </c>
      <c r="K131">
        <f>RANK(Cleaned_data[[#This Row],[  Market Cap]],Cleaned_data[ [  Market Cap] ],0)</f>
        <v>130</v>
      </c>
      <c r="L131" t="str">
        <f t="shared" ref="L131:L194" si="55">IF(VALUE(C131)&lt;=0.5,"0-0.5",
IF(VALUE(C131)&lt;=1,"0.5-1",
IF(VALUE(C131)&lt;=2,"1-2",
IF(VALUE(C131)&lt;=10,"2-10",
IF(VALUE(C131)&lt;=100,"10-100",
IF(VALUE(C131)&lt;=10000,"100-10000",
"10000+"))))))</f>
        <v>0-0.5</v>
      </c>
      <c r="M131">
        <f t="shared" si="44"/>
        <v>2.3699999999999999E-2</v>
      </c>
      <c r="N131" t="str">
        <f t="shared" si="45"/>
        <v>Hide</v>
      </c>
      <c r="O131" t="str">
        <f t="shared" si="46"/>
        <v>0-50</v>
      </c>
      <c r="P131">
        <f t="shared" si="47"/>
        <v>2.3558648111332008E-2</v>
      </c>
      <c r="Q131" t="str">
        <f t="shared" si="48"/>
        <v>Up to $10</v>
      </c>
      <c r="R131">
        <f t="shared" si="49"/>
        <v>2.3465346534653465E-2</v>
      </c>
      <c r="S131">
        <f t="shared" si="50"/>
        <v>4.2000000000000003E-2</v>
      </c>
      <c r="T131">
        <f t="shared" si="51"/>
        <v>2.2744721689059499E-2</v>
      </c>
      <c r="U131">
        <f t="shared" si="52"/>
        <v>-0.01</v>
      </c>
      <c r="V131">
        <f t="shared" si="53"/>
        <v>1.2666666666666668E-2</v>
      </c>
      <c r="W131" t="str">
        <f t="shared" si="54"/>
        <v>0-0.05</v>
      </c>
    </row>
    <row r="132" spans="1:23">
      <c r="A132" t="s">
        <v>716</v>
      </c>
      <c r="B132" t="s">
        <v>717</v>
      </c>
      <c r="C132" s="6">
        <v>4.6319999999999998E-3</v>
      </c>
      <c r="D132">
        <v>6.7000000000000002E-3</v>
      </c>
      <c r="E132" t="s">
        <v>1185</v>
      </c>
      <c r="F132">
        <v>79692</v>
      </c>
      <c r="G132" t="s">
        <v>88</v>
      </c>
      <c r="H132">
        <v>1000000000</v>
      </c>
      <c r="I132">
        <v>4630000</v>
      </c>
      <c r="J132">
        <f>Cleaned_data[[#This Row],[Volume (24h) USD]]/Cleaned_data[[#This Row],[Circulating_Supply($)]]</f>
        <v>7.9691999999999995E-5</v>
      </c>
      <c r="K132">
        <f>RANK(Cleaned_data[[#This Row],[  Market Cap]],Cleaned_data[ [  Market Cap] ],0)</f>
        <v>130</v>
      </c>
      <c r="L132" t="str">
        <f t="shared" si="55"/>
        <v>0-0.5</v>
      </c>
      <c r="M132">
        <f t="shared" si="44"/>
        <v>4.6319999999999998E-3</v>
      </c>
      <c r="N132" t="str">
        <f t="shared" si="45"/>
        <v>Hide</v>
      </c>
      <c r="O132" t="str">
        <f t="shared" si="46"/>
        <v>0-50</v>
      </c>
      <c r="P132">
        <f t="shared" si="47"/>
        <v>4.6011721466176622E-3</v>
      </c>
      <c r="Q132" t="str">
        <f t="shared" si="48"/>
        <v>Up to $10</v>
      </c>
      <c r="R132">
        <f t="shared" si="49"/>
        <v>4.5861386138613862E-3</v>
      </c>
      <c r="S132">
        <f t="shared" si="50"/>
        <v>4.6900000000000004E-2</v>
      </c>
      <c r="T132">
        <f t="shared" si="51"/>
        <v>4.424491355430318E-3</v>
      </c>
      <c r="U132">
        <f t="shared" si="52"/>
        <v>-0.01</v>
      </c>
      <c r="V132">
        <f t="shared" si="53"/>
        <v>1.4533333333333336E-2</v>
      </c>
      <c r="W132" t="str">
        <f t="shared" si="54"/>
        <v>0-0.05</v>
      </c>
    </row>
    <row r="133" spans="1:23">
      <c r="A133" t="s">
        <v>720</v>
      </c>
      <c r="B133" t="s">
        <v>721</v>
      </c>
      <c r="C133" s="6">
        <v>1.671E-3</v>
      </c>
      <c r="D133">
        <v>8.0999999999999996E-3</v>
      </c>
      <c r="E133" t="s">
        <v>1186</v>
      </c>
      <c r="F133">
        <v>67565</v>
      </c>
      <c r="G133" t="s">
        <v>725</v>
      </c>
      <c r="H133">
        <v>2760000000</v>
      </c>
      <c r="I133">
        <v>4620000</v>
      </c>
      <c r="J133">
        <f>Cleaned_data[[#This Row],[Volume (24h) USD]]/Cleaned_data[[#This Row],[Circulating_Supply($)]]</f>
        <v>2.4480072463768116E-5</v>
      </c>
      <c r="K133">
        <f>RANK(Cleaned_data[[#This Row],[  Market Cap]],Cleaned_data[ [  Market Cap] ],0)</f>
        <v>132</v>
      </c>
      <c r="L133" t="str">
        <f t="shared" si="55"/>
        <v>0-0.5</v>
      </c>
      <c r="M133">
        <f t="shared" si="44"/>
        <v>1.671E-3</v>
      </c>
      <c r="N133" t="str">
        <f t="shared" si="45"/>
        <v>Hide</v>
      </c>
      <c r="O133" t="str">
        <f t="shared" si="46"/>
        <v>0-50</v>
      </c>
      <c r="P133">
        <f t="shared" si="47"/>
        <v>1.6575736534074001E-3</v>
      </c>
      <c r="Q133" t="str">
        <f t="shared" si="48"/>
        <v>Up to $10</v>
      </c>
      <c r="R133">
        <f t="shared" si="49"/>
        <v>1.6544554455445544E-3</v>
      </c>
      <c r="S133">
        <f t="shared" si="50"/>
        <v>5.67E-2</v>
      </c>
      <c r="T133">
        <f t="shared" si="51"/>
        <v>1.5813381281347592E-3</v>
      </c>
      <c r="U133">
        <f t="shared" si="52"/>
        <v>-0.01</v>
      </c>
      <c r="V133">
        <f t="shared" si="53"/>
        <v>1.8266666666666667E-2</v>
      </c>
      <c r="W133" t="str">
        <f t="shared" si="54"/>
        <v>0-0.05</v>
      </c>
    </row>
    <row r="134" spans="1:23">
      <c r="A134" t="s">
        <v>726</v>
      </c>
      <c r="B134" t="s">
        <v>727</v>
      </c>
      <c r="C134" s="6">
        <v>3.073E-2</v>
      </c>
      <c r="D134">
        <v>2.2000000000000001E-3</v>
      </c>
      <c r="E134" t="s">
        <v>1187</v>
      </c>
      <c r="F134">
        <v>2</v>
      </c>
      <c r="G134" t="s">
        <v>730</v>
      </c>
      <c r="H134">
        <v>149990000</v>
      </c>
      <c r="I134">
        <v>4610000</v>
      </c>
      <c r="J134">
        <f>Cleaned_data[[#This Row],[Volume (24h) USD]]/Cleaned_data[[#This Row],[Circulating_Supply($)]]</f>
        <v>1.3334222281485432E-8</v>
      </c>
      <c r="K134">
        <f>RANK(Cleaned_data[[#This Row],[  Market Cap]],Cleaned_data[ [  Market Cap] ],0)</f>
        <v>133</v>
      </c>
      <c r="L134" t="str">
        <f t="shared" si="55"/>
        <v>0-0.5</v>
      </c>
      <c r="M134">
        <f t="shared" si="44"/>
        <v>3.073E-2</v>
      </c>
      <c r="N134" t="str">
        <f t="shared" si="45"/>
        <v>Show</v>
      </c>
      <c r="O134" t="str">
        <f t="shared" si="46"/>
        <v>0-50</v>
      </c>
      <c r="P134">
        <f t="shared" si="47"/>
        <v>3.066254240670525E-2</v>
      </c>
      <c r="Q134" t="str">
        <f t="shared" si="48"/>
        <v>Up to $10</v>
      </c>
      <c r="R134">
        <f t="shared" si="49"/>
        <v>3.0425742574257425E-2</v>
      </c>
      <c r="S134">
        <f t="shared" si="50"/>
        <v>1.54E-2</v>
      </c>
      <c r="T134">
        <f t="shared" si="51"/>
        <v>3.0263935394918257E-2</v>
      </c>
      <c r="U134">
        <f t="shared" si="52"/>
        <v>-0.01</v>
      </c>
      <c r="V134">
        <f t="shared" si="53"/>
        <v>2.5333333333333336E-3</v>
      </c>
      <c r="W134" t="str">
        <f t="shared" si="54"/>
        <v>0-0.05</v>
      </c>
    </row>
    <row r="135" spans="1:23">
      <c r="A135" t="s">
        <v>731</v>
      </c>
      <c r="B135" t="s">
        <v>732</v>
      </c>
      <c r="C135" s="6">
        <v>2.1930000000000002E-2</v>
      </c>
      <c r="D135">
        <v>2.0999999999999999E-3</v>
      </c>
      <c r="E135" t="s">
        <v>1188</v>
      </c>
      <c r="F135">
        <v>170407</v>
      </c>
      <c r="G135" t="s">
        <v>735</v>
      </c>
      <c r="H135">
        <v>209900000</v>
      </c>
      <c r="I135">
        <v>4600000</v>
      </c>
      <c r="J135">
        <f>Cleaned_data[[#This Row],[Volume (24h) USD]]/Cleaned_data[[#This Row],[Circulating_Supply($)]]</f>
        <v>8.11848499285374E-4</v>
      </c>
      <c r="K135">
        <f>RANK(Cleaned_data[[#This Row],[  Market Cap]],Cleaned_data[ [  Market Cap] ],0)</f>
        <v>134</v>
      </c>
      <c r="L135" t="str">
        <f t="shared" si="55"/>
        <v>0-0.5</v>
      </c>
      <c r="M135">
        <f t="shared" si="44"/>
        <v>2.1930000000000002E-2</v>
      </c>
      <c r="N135" t="str">
        <f t="shared" si="45"/>
        <v>Hide</v>
      </c>
      <c r="O135" t="str">
        <f t="shared" si="46"/>
        <v>0-50</v>
      </c>
      <c r="P135">
        <f t="shared" si="47"/>
        <v>2.1884043508631875E-2</v>
      </c>
      <c r="Q135" t="str">
        <f t="shared" si="48"/>
        <v>Up to $10</v>
      </c>
      <c r="R135">
        <f t="shared" si="49"/>
        <v>2.1712871287128715E-2</v>
      </c>
      <c r="S135">
        <f t="shared" si="50"/>
        <v>1.47E-2</v>
      </c>
      <c r="T135">
        <f t="shared" si="51"/>
        <v>2.1612299201734506E-2</v>
      </c>
      <c r="U135">
        <f t="shared" si="52"/>
        <v>-0.01</v>
      </c>
      <c r="V135">
        <f t="shared" si="53"/>
        <v>2.2666666666666664E-3</v>
      </c>
      <c r="W135" t="str">
        <f t="shared" si="54"/>
        <v>0-0.05</v>
      </c>
    </row>
    <row r="136" spans="1:23">
      <c r="A136" t="s">
        <v>736</v>
      </c>
      <c r="B136" t="s">
        <v>737</v>
      </c>
      <c r="C136" s="6">
        <v>8.1739999999999993E-2</v>
      </c>
      <c r="D136">
        <v>4.1999999999999997E-3</v>
      </c>
      <c r="E136" t="s">
        <v>1189</v>
      </c>
      <c r="F136">
        <v>489376629</v>
      </c>
      <c r="G136" t="s">
        <v>740</v>
      </c>
      <c r="H136">
        <v>56000000</v>
      </c>
      <c r="I136">
        <v>4580000</v>
      </c>
      <c r="J136">
        <f>Cleaned_data[[#This Row],[Volume (24h) USD]]/Cleaned_data[[#This Row],[Circulating_Supply($)]]</f>
        <v>8.7388683749999991</v>
      </c>
      <c r="K136">
        <f>RANK(Cleaned_data[[#This Row],[  Market Cap]],Cleaned_data[ [  Market Cap] ],0)</f>
        <v>135</v>
      </c>
      <c r="L136" t="str">
        <f t="shared" si="55"/>
        <v>0-0.5</v>
      </c>
      <c r="M136">
        <f t="shared" si="44"/>
        <v>8.1739999999999993E-2</v>
      </c>
      <c r="N136" t="str">
        <f t="shared" si="45"/>
        <v>Hide</v>
      </c>
      <c r="O136" t="str">
        <f t="shared" si="46"/>
        <v>0-50</v>
      </c>
      <c r="P136">
        <f t="shared" si="47"/>
        <v>8.1398127862975497E-2</v>
      </c>
      <c r="Q136" t="str">
        <f t="shared" si="48"/>
        <v>Up to $10</v>
      </c>
      <c r="R136">
        <f t="shared" si="49"/>
        <v>8.0930693069306919E-2</v>
      </c>
      <c r="S136">
        <f t="shared" si="50"/>
        <v>2.9399999999999999E-2</v>
      </c>
      <c r="T136">
        <f t="shared" si="51"/>
        <v>7.9405478919759076E-2</v>
      </c>
      <c r="U136">
        <f t="shared" si="52"/>
        <v>-0.01</v>
      </c>
      <c r="V136">
        <f t="shared" si="53"/>
        <v>7.8666666666666659E-3</v>
      </c>
      <c r="W136" t="str">
        <f t="shared" si="54"/>
        <v>0.05-0.5</v>
      </c>
    </row>
    <row r="137" spans="1:23">
      <c r="A137" t="s">
        <v>741</v>
      </c>
      <c r="B137" t="s">
        <v>742</v>
      </c>
      <c r="C137" s="6">
        <v>1.9120000000000002E-2</v>
      </c>
      <c r="D137">
        <v>5.0000000000000001E-3</v>
      </c>
      <c r="E137" t="s">
        <v>1190</v>
      </c>
      <c r="F137">
        <v>84311</v>
      </c>
      <c r="G137" t="s">
        <v>745</v>
      </c>
      <c r="H137">
        <v>238670000</v>
      </c>
      <c r="I137">
        <v>4570000</v>
      </c>
      <c r="J137">
        <f>Cleaned_data[[#This Row],[Volume (24h) USD]]/Cleaned_data[[#This Row],[Circulating_Supply($)]]</f>
        <v>3.5325344618091924E-4</v>
      </c>
      <c r="K137">
        <f>RANK(Cleaned_data[[#This Row],[  Market Cap]],Cleaned_data[ [  Market Cap] ],0)</f>
        <v>136</v>
      </c>
      <c r="L137" t="str">
        <f t="shared" si="55"/>
        <v>0-0.5</v>
      </c>
      <c r="M137">
        <f t="shared" si="44"/>
        <v>1.9120000000000002E-2</v>
      </c>
      <c r="N137" t="str">
        <f t="shared" si="45"/>
        <v>Hide</v>
      </c>
      <c r="O137" t="str">
        <f t="shared" si="46"/>
        <v>0-50</v>
      </c>
      <c r="P137">
        <f t="shared" si="47"/>
        <v>1.902487562189055E-2</v>
      </c>
      <c r="Q137" t="str">
        <f t="shared" si="48"/>
        <v>Up to $10</v>
      </c>
      <c r="R137">
        <f t="shared" si="49"/>
        <v>1.8930693069306934E-2</v>
      </c>
      <c r="S137">
        <f t="shared" si="50"/>
        <v>3.5000000000000003E-2</v>
      </c>
      <c r="T137">
        <f t="shared" si="51"/>
        <v>1.8473429951690823E-2</v>
      </c>
      <c r="U137">
        <f t="shared" si="52"/>
        <v>-0.01</v>
      </c>
      <c r="V137">
        <f t="shared" si="53"/>
        <v>0.01</v>
      </c>
      <c r="W137" t="str">
        <f t="shared" si="54"/>
        <v>0-0.05</v>
      </c>
    </row>
    <row r="138" spans="1:23">
      <c r="A138" t="s">
        <v>746</v>
      </c>
      <c r="B138" t="s">
        <v>747</v>
      </c>
      <c r="C138" s="6">
        <v>6.9470000000000003E-4</v>
      </c>
      <c r="D138">
        <v>4.3E-3</v>
      </c>
      <c r="E138" t="s">
        <v>1191</v>
      </c>
      <c r="F138">
        <v>2935208</v>
      </c>
      <c r="G138" t="s">
        <v>750</v>
      </c>
      <c r="H138">
        <v>6510000000</v>
      </c>
      <c r="I138">
        <v>4520000</v>
      </c>
      <c r="J138">
        <f>Cleaned_data[[#This Row],[Volume (24h) USD]]/Cleaned_data[[#This Row],[Circulating_Supply($)]]</f>
        <v>4.5087680491551457E-4</v>
      </c>
      <c r="K138">
        <f>RANK(Cleaned_data[[#This Row],[  Market Cap]],Cleaned_data[ [  Market Cap] ],0)</f>
        <v>137</v>
      </c>
      <c r="L138" t="str">
        <f t="shared" si="55"/>
        <v>0-0.5</v>
      </c>
      <c r="M138">
        <f t="shared" si="44"/>
        <v>6.9470000000000003E-4</v>
      </c>
      <c r="N138" t="str">
        <f t="shared" si="45"/>
        <v>Show</v>
      </c>
      <c r="O138" t="str">
        <f t="shared" si="46"/>
        <v>0-50</v>
      </c>
      <c r="P138">
        <f t="shared" si="47"/>
        <v>6.9172558000597437E-4</v>
      </c>
      <c r="Q138" t="str">
        <f t="shared" si="48"/>
        <v>Up to $10</v>
      </c>
      <c r="R138">
        <f t="shared" si="49"/>
        <v>6.8782178217821784E-4</v>
      </c>
      <c r="S138">
        <f t="shared" si="50"/>
        <v>3.0100000000000002E-2</v>
      </c>
      <c r="T138">
        <f t="shared" si="51"/>
        <v>6.7440054363654021E-4</v>
      </c>
      <c r="U138">
        <f t="shared" si="52"/>
        <v>-0.01</v>
      </c>
      <c r="V138">
        <f t="shared" si="53"/>
        <v>8.1333333333333344E-3</v>
      </c>
      <c r="W138" t="str">
        <f t="shared" si="54"/>
        <v>0-0.05</v>
      </c>
    </row>
    <row r="139" spans="1:23">
      <c r="A139" t="s">
        <v>751</v>
      </c>
      <c r="B139" t="s">
        <v>752</v>
      </c>
      <c r="C139" s="6">
        <v>76</v>
      </c>
      <c r="D139">
        <v>3.3E-3</v>
      </c>
      <c r="E139" t="s">
        <v>1191</v>
      </c>
      <c r="F139">
        <v>3866702</v>
      </c>
      <c r="G139" t="s">
        <v>755</v>
      </c>
      <c r="H139">
        <v>59400</v>
      </c>
      <c r="I139">
        <v>4520000</v>
      </c>
      <c r="J139">
        <f>Cleaned_data[[#This Row],[Volume (24h) USD]]/Cleaned_data[[#This Row],[Circulating_Supply($)]]</f>
        <v>65.095993265993272</v>
      </c>
      <c r="K139">
        <f>RANK(Cleaned_data[[#This Row],[  Market Cap]],Cleaned_data[ [  Market Cap] ],0)</f>
        <v>137</v>
      </c>
      <c r="L139" t="str">
        <f t="shared" si="55"/>
        <v>10-100</v>
      </c>
      <c r="M139">
        <f t="shared" si="44"/>
        <v>76</v>
      </c>
      <c r="N139" t="str">
        <f t="shared" si="45"/>
        <v>Hide</v>
      </c>
      <c r="O139" t="str">
        <f t="shared" si="46"/>
        <v>Above 50</v>
      </c>
      <c r="P139">
        <f t="shared" si="47"/>
        <v>75.750024917771341</v>
      </c>
      <c r="Q139" t="str">
        <f t="shared" si="48"/>
        <v>&gt;= $10</v>
      </c>
      <c r="R139">
        <f t="shared" si="49"/>
        <v>75.247524752475243</v>
      </c>
      <c r="S139">
        <f t="shared" si="50"/>
        <v>2.3099999999999999E-2</v>
      </c>
      <c r="T139">
        <f t="shared" si="51"/>
        <v>74.284038705893863</v>
      </c>
      <c r="U139">
        <f t="shared" si="52"/>
        <v>-0.01</v>
      </c>
      <c r="V139">
        <f t="shared" si="53"/>
        <v>5.4666666666666657E-3</v>
      </c>
      <c r="W139" t="str">
        <f t="shared" si="54"/>
        <v>&gt;$50</v>
      </c>
    </row>
    <row r="140" spans="1:23">
      <c r="A140" t="s">
        <v>756</v>
      </c>
      <c r="B140" t="s">
        <v>757</v>
      </c>
      <c r="C140" s="6">
        <v>1.2070000000000001E-4</v>
      </c>
      <c r="D140">
        <v>2.0000000000000001E-4</v>
      </c>
      <c r="E140" t="s">
        <v>765</v>
      </c>
      <c r="F140">
        <v>25011</v>
      </c>
      <c r="G140" t="s">
        <v>760</v>
      </c>
      <c r="H140">
        <v>29050000000</v>
      </c>
      <c r="I140">
        <v>3510000</v>
      </c>
      <c r="J140">
        <f>Cleaned_data[[#This Row],[Volume (24h) USD]]/Cleaned_data[[#This Row],[Circulating_Supply($)]]</f>
        <v>8.6096385542168673E-7</v>
      </c>
      <c r="K140">
        <f>RANK(Cleaned_data[[#This Row],[  Market Cap]],Cleaned_data[ [  Market Cap] ],0)</f>
        <v>139</v>
      </c>
      <c r="L140" t="str">
        <f t="shared" si="55"/>
        <v>0-0.5</v>
      </c>
      <c r="M140">
        <f t="shared" si="44"/>
        <v>1.2070000000000001E-4</v>
      </c>
      <c r="N140" t="str">
        <f t="shared" si="45"/>
        <v>Hide</v>
      </c>
      <c r="O140" t="str">
        <f t="shared" si="46"/>
        <v>0-50</v>
      </c>
      <c r="P140">
        <f t="shared" si="47"/>
        <v>1.206758648270346E-4</v>
      </c>
      <c r="Q140" t="str">
        <f t="shared" si="48"/>
        <v>Up to $10</v>
      </c>
      <c r="R140">
        <f t="shared" si="49"/>
        <v>1.1950495049504952E-4</v>
      </c>
      <c r="S140">
        <f t="shared" si="50"/>
        <v>1.4E-3</v>
      </c>
      <c r="T140">
        <f t="shared" si="51"/>
        <v>1.2053125624126223E-4</v>
      </c>
      <c r="U140">
        <f t="shared" si="52"/>
        <v>-0.01</v>
      </c>
      <c r="V140">
        <f t="shared" si="53"/>
        <v>2.8E-3</v>
      </c>
      <c r="W140" t="str">
        <f t="shared" si="54"/>
        <v>0-0.05</v>
      </c>
    </row>
    <row r="141" spans="1:23">
      <c r="A141" t="s">
        <v>761</v>
      </c>
      <c r="B141" t="s">
        <v>762</v>
      </c>
      <c r="C141" s="6">
        <v>0.99529999999999996</v>
      </c>
      <c r="D141">
        <v>0</v>
      </c>
      <c r="E141" t="s">
        <v>1192</v>
      </c>
      <c r="F141">
        <v>3442</v>
      </c>
      <c r="G141" t="s">
        <v>765</v>
      </c>
      <c r="H141">
        <v>3510000</v>
      </c>
      <c r="I141">
        <v>3500000</v>
      </c>
      <c r="J141">
        <f>Cleaned_data[[#This Row],[Volume (24h) USD]]/Cleaned_data[[#This Row],[Circulating_Supply($)]]</f>
        <v>9.8062678062678073E-4</v>
      </c>
      <c r="K141">
        <f>RANK(Cleaned_data[[#This Row],[  Market Cap]],Cleaned_data[ [  Market Cap] ],0)</f>
        <v>140</v>
      </c>
      <c r="L141" t="str">
        <f t="shared" si="55"/>
        <v>0.5-1</v>
      </c>
      <c r="M141">
        <f t="shared" si="44"/>
        <v>0.99529999999999996</v>
      </c>
      <c r="N141" t="str">
        <f t="shared" si="45"/>
        <v>Hide</v>
      </c>
      <c r="O141" t="str">
        <f t="shared" si="46"/>
        <v>0-50</v>
      </c>
      <c r="P141">
        <f t="shared" si="47"/>
        <v>0.99529999999999996</v>
      </c>
      <c r="Q141" t="str">
        <f t="shared" si="48"/>
        <v>Up to $10</v>
      </c>
      <c r="R141">
        <f t="shared" si="49"/>
        <v>0.98544554455445543</v>
      </c>
      <c r="S141">
        <f t="shared" si="50"/>
        <v>0</v>
      </c>
      <c r="T141">
        <f t="shared" si="51"/>
        <v>0.99529999999999996</v>
      </c>
      <c r="U141">
        <f t="shared" si="52"/>
        <v>-0.01</v>
      </c>
      <c r="V141">
        <f t="shared" si="53"/>
        <v>3.3333333333333335E-3</v>
      </c>
      <c r="W141" t="str">
        <f t="shared" si="54"/>
        <v>0.5-5</v>
      </c>
    </row>
    <row r="142" spans="1:23">
      <c r="A142" t="s">
        <v>766</v>
      </c>
      <c r="B142" t="s">
        <v>767</v>
      </c>
      <c r="C142" s="6">
        <v>3.7039999999999998E-3</v>
      </c>
      <c r="D142">
        <v>8.0000000000000002E-3</v>
      </c>
      <c r="E142" t="s">
        <v>1192</v>
      </c>
      <c r="F142">
        <v>692473</v>
      </c>
      <c r="G142" t="s">
        <v>771</v>
      </c>
      <c r="H142">
        <v>944200000</v>
      </c>
      <c r="I142">
        <v>3500000</v>
      </c>
      <c r="J142">
        <f>Cleaned_data[[#This Row],[Volume (24h) USD]]/Cleaned_data[[#This Row],[Circulating_Supply($)]]</f>
        <v>7.3339652615971192E-4</v>
      </c>
      <c r="K142">
        <f>RANK(Cleaned_data[[#This Row],[  Market Cap]],Cleaned_data[ [  Market Cap] ],0)</f>
        <v>140</v>
      </c>
      <c r="L142" t="str">
        <f t="shared" si="55"/>
        <v>0-0.5</v>
      </c>
      <c r="M142">
        <f t="shared" si="44"/>
        <v>3.7039999999999998E-3</v>
      </c>
      <c r="N142" t="str">
        <f t="shared" si="45"/>
        <v>Hide</v>
      </c>
      <c r="O142" t="str">
        <f t="shared" si="46"/>
        <v>0-50</v>
      </c>
      <c r="P142">
        <f t="shared" si="47"/>
        <v>3.6746031746031746E-3</v>
      </c>
      <c r="Q142" t="str">
        <f t="shared" si="48"/>
        <v>Up to $10</v>
      </c>
      <c r="R142">
        <f t="shared" si="49"/>
        <v>3.6673267326732669E-3</v>
      </c>
      <c r="S142">
        <f t="shared" si="50"/>
        <v>5.6000000000000001E-2</v>
      </c>
      <c r="T142">
        <f t="shared" si="51"/>
        <v>3.5075757575757571E-3</v>
      </c>
      <c r="U142">
        <f t="shared" si="52"/>
        <v>-0.01</v>
      </c>
      <c r="V142">
        <f t="shared" si="53"/>
        <v>1.7999999999999999E-2</v>
      </c>
      <c r="W142" t="str">
        <f t="shared" si="54"/>
        <v>0-0.05</v>
      </c>
    </row>
    <row r="143" spans="1:23">
      <c r="A143" t="s">
        <v>772</v>
      </c>
      <c r="B143" t="s">
        <v>773</v>
      </c>
      <c r="C143" s="6">
        <v>0.152</v>
      </c>
      <c r="D143">
        <v>2.9999999999999997E-4</v>
      </c>
      <c r="E143" t="s">
        <v>1193</v>
      </c>
      <c r="F143">
        <v>18862</v>
      </c>
      <c r="G143" t="s">
        <v>776</v>
      </c>
      <c r="H143">
        <v>22910000</v>
      </c>
      <c r="I143">
        <v>3480000</v>
      </c>
      <c r="J143">
        <f>Cleaned_data[[#This Row],[Volume (24h) USD]]/Cleaned_data[[#This Row],[Circulating_Supply($)]]</f>
        <v>8.233085988651244E-4</v>
      </c>
      <c r="K143">
        <f>RANK(Cleaned_data[[#This Row],[  Market Cap]],Cleaned_data[ [  Market Cap] ],0)</f>
        <v>142</v>
      </c>
      <c r="L143" t="str">
        <f t="shared" si="55"/>
        <v>0-0.5</v>
      </c>
      <c r="M143">
        <f t="shared" si="44"/>
        <v>0.152</v>
      </c>
      <c r="N143" t="str">
        <f t="shared" si="45"/>
        <v>Show</v>
      </c>
      <c r="O143" t="str">
        <f t="shared" si="46"/>
        <v>0-50</v>
      </c>
      <c r="P143">
        <f t="shared" si="47"/>
        <v>0.15195441367589724</v>
      </c>
      <c r="Q143" t="str">
        <f t="shared" si="48"/>
        <v>Up to $10</v>
      </c>
      <c r="R143">
        <f t="shared" si="49"/>
        <v>0.15049504950495049</v>
      </c>
      <c r="S143">
        <f t="shared" si="50"/>
        <v>2.0999999999999999E-3</v>
      </c>
      <c r="T143">
        <f t="shared" si="51"/>
        <v>0.15168146891527792</v>
      </c>
      <c r="U143">
        <f t="shared" si="52"/>
        <v>-0.01</v>
      </c>
      <c r="V143">
        <f t="shared" si="53"/>
        <v>2.5333333333333336E-3</v>
      </c>
      <c r="W143" t="str">
        <f t="shared" si="54"/>
        <v>0.05-0.5</v>
      </c>
    </row>
    <row r="144" spans="1:23">
      <c r="A144" t="s">
        <v>777</v>
      </c>
      <c r="B144" t="s">
        <v>778</v>
      </c>
      <c r="C144" s="6">
        <v>140.13</v>
      </c>
      <c r="D144">
        <v>5.0000000000000001E-4</v>
      </c>
      <c r="E144" t="s">
        <v>1194</v>
      </c>
      <c r="F144">
        <v>3816417</v>
      </c>
      <c r="G144" t="s">
        <v>782</v>
      </c>
      <c r="H144">
        <v>24720</v>
      </c>
      <c r="I144">
        <v>3460000</v>
      </c>
      <c r="J144">
        <f>Cleaned_data[[#This Row],[Volume (24h) USD]]/Cleaned_data[[#This Row],[Circulating_Supply($)]]</f>
        <v>154.38580097087379</v>
      </c>
      <c r="K144">
        <f>RANK(Cleaned_data[[#This Row],[  Market Cap]],Cleaned_data[ [  Market Cap] ],0)</f>
        <v>143</v>
      </c>
      <c r="L144" t="str">
        <f t="shared" si="55"/>
        <v>100-10000</v>
      </c>
      <c r="M144">
        <f t="shared" si="44"/>
        <v>140.13</v>
      </c>
      <c r="N144" t="str">
        <f t="shared" si="45"/>
        <v>Show</v>
      </c>
      <c r="O144" t="str">
        <f t="shared" si="46"/>
        <v>Above 50</v>
      </c>
      <c r="P144">
        <f t="shared" si="47"/>
        <v>140.0599700149925</v>
      </c>
      <c r="Q144" t="str">
        <f t="shared" si="48"/>
        <v>&gt;= $10</v>
      </c>
      <c r="R144">
        <f t="shared" si="49"/>
        <v>138.74257425742573</v>
      </c>
      <c r="S144">
        <f t="shared" si="50"/>
        <v>3.5000000000000001E-3</v>
      </c>
      <c r="T144">
        <f t="shared" si="51"/>
        <v>139.64125560538116</v>
      </c>
      <c r="U144">
        <f t="shared" si="52"/>
        <v>-0.01</v>
      </c>
      <c r="V144">
        <f t="shared" si="53"/>
        <v>2E-3</v>
      </c>
      <c r="W144" t="str">
        <f t="shared" si="54"/>
        <v>&gt;$50</v>
      </c>
    </row>
    <row r="145" spans="1:23">
      <c r="A145" t="s">
        <v>783</v>
      </c>
      <c r="B145" t="s">
        <v>784</v>
      </c>
      <c r="C145" s="6">
        <v>2.2950000000000002E-2</v>
      </c>
      <c r="D145">
        <v>4.0000000000000002E-4</v>
      </c>
      <c r="E145" t="s">
        <v>1194</v>
      </c>
      <c r="F145">
        <v>70547</v>
      </c>
      <c r="G145" t="s">
        <v>787</v>
      </c>
      <c r="H145">
        <v>150750000</v>
      </c>
      <c r="I145">
        <v>3460000</v>
      </c>
      <c r="J145">
        <f>Cleaned_data[[#This Row],[Volume (24h) USD]]/Cleaned_data[[#This Row],[Circulating_Supply($)]]</f>
        <v>4.6797346600331677E-4</v>
      </c>
      <c r="K145">
        <f>RANK(Cleaned_data[[#This Row],[  Market Cap]],Cleaned_data[ [  Market Cap] ],0)</f>
        <v>143</v>
      </c>
      <c r="L145" t="str">
        <f t="shared" si="55"/>
        <v>0-0.5</v>
      </c>
      <c r="M145">
        <f t="shared" si="44"/>
        <v>2.2950000000000002E-2</v>
      </c>
      <c r="N145" t="str">
        <f t="shared" si="45"/>
        <v>Show</v>
      </c>
      <c r="O145" t="str">
        <f t="shared" si="46"/>
        <v>0-50</v>
      </c>
      <c r="P145">
        <f t="shared" si="47"/>
        <v>2.2940823670531789E-2</v>
      </c>
      <c r="Q145" t="str">
        <f t="shared" si="48"/>
        <v>Up to $10</v>
      </c>
      <c r="R145">
        <f t="shared" si="49"/>
        <v>2.2722772277227726E-2</v>
      </c>
      <c r="S145">
        <f t="shared" si="50"/>
        <v>2.8E-3</v>
      </c>
      <c r="T145">
        <f t="shared" si="51"/>
        <v>2.28859194256083E-2</v>
      </c>
      <c r="U145">
        <f t="shared" si="52"/>
        <v>-0.01</v>
      </c>
      <c r="V145">
        <f t="shared" si="53"/>
        <v>2.2666666666666668E-3</v>
      </c>
      <c r="W145" t="str">
        <f t="shared" si="54"/>
        <v>0-0.05</v>
      </c>
    </row>
    <row r="146" spans="1:23">
      <c r="A146" t="s">
        <v>788</v>
      </c>
      <c r="B146" t="s">
        <v>789</v>
      </c>
      <c r="C146" s="6">
        <v>9.5320000000000005E-3</v>
      </c>
      <c r="D146">
        <v>1E-4</v>
      </c>
      <c r="E146" t="s">
        <v>1195</v>
      </c>
      <c r="F146">
        <v>331370</v>
      </c>
      <c r="G146" t="s">
        <v>792</v>
      </c>
      <c r="H146">
        <v>361280000</v>
      </c>
      <c r="I146">
        <v>3440000</v>
      </c>
      <c r="J146">
        <f>Cleaned_data[[#This Row],[Volume (24h) USD]]/Cleaned_data[[#This Row],[Circulating_Supply($)]]</f>
        <v>9.1721102745792734E-4</v>
      </c>
      <c r="K146">
        <f>RANK(Cleaned_data[[#This Row],[  Market Cap]],Cleaned_data[ [  Market Cap] ],0)</f>
        <v>145</v>
      </c>
      <c r="L146" t="str">
        <f t="shared" si="55"/>
        <v>0-0.5</v>
      </c>
      <c r="M146">
        <f t="shared" si="44"/>
        <v>9.5320000000000005E-3</v>
      </c>
      <c r="N146" t="str">
        <f t="shared" si="45"/>
        <v>Hide</v>
      </c>
      <c r="O146" t="str">
        <f t="shared" si="46"/>
        <v>0-50</v>
      </c>
      <c r="P146">
        <f t="shared" si="47"/>
        <v>9.5310468953104695E-3</v>
      </c>
      <c r="Q146" t="str">
        <f t="shared" si="48"/>
        <v>Up to $10</v>
      </c>
      <c r="R146">
        <f t="shared" si="49"/>
        <v>9.4376237623762377E-3</v>
      </c>
      <c r="S146">
        <f t="shared" si="50"/>
        <v>6.9999999999999999E-4</v>
      </c>
      <c r="T146">
        <f t="shared" si="51"/>
        <v>9.5253322674128116E-3</v>
      </c>
      <c r="U146">
        <f t="shared" si="52"/>
        <v>-0.01</v>
      </c>
      <c r="V146">
        <f t="shared" si="53"/>
        <v>3.0666666666666672E-3</v>
      </c>
      <c r="W146" t="str">
        <f t="shared" si="54"/>
        <v>0-0.05</v>
      </c>
    </row>
    <row r="147" spans="1:23">
      <c r="A147" t="s">
        <v>793</v>
      </c>
      <c r="B147" t="s">
        <v>794</v>
      </c>
      <c r="C147" s="6">
        <v>5.1770000000000002E-3</v>
      </c>
      <c r="D147">
        <v>0</v>
      </c>
      <c r="E147" t="s">
        <v>1195</v>
      </c>
      <c r="F147">
        <v>18302</v>
      </c>
      <c r="G147" t="s">
        <v>797</v>
      </c>
      <c r="H147">
        <v>664000000</v>
      </c>
      <c r="I147">
        <v>3440000</v>
      </c>
      <c r="J147">
        <f>Cleaned_data[[#This Row],[Volume (24h) USD]]/Cleaned_data[[#This Row],[Circulating_Supply($)]]</f>
        <v>2.7563253012048192E-5</v>
      </c>
      <c r="K147">
        <f>RANK(Cleaned_data[[#This Row],[  Market Cap]],Cleaned_data[ [  Market Cap] ],0)</f>
        <v>145</v>
      </c>
      <c r="L147" t="str">
        <f t="shared" si="55"/>
        <v>0-0.5</v>
      </c>
      <c r="M147">
        <f t="shared" si="44"/>
        <v>5.1770000000000002E-3</v>
      </c>
      <c r="N147" t="str">
        <f t="shared" si="45"/>
        <v>Show</v>
      </c>
      <c r="O147" t="str">
        <f t="shared" si="46"/>
        <v>0-50</v>
      </c>
      <c r="P147">
        <f t="shared" si="47"/>
        <v>5.1770000000000002E-3</v>
      </c>
      <c r="Q147" t="str">
        <f t="shared" si="48"/>
        <v>Up to $10</v>
      </c>
      <c r="R147">
        <f t="shared" si="49"/>
        <v>5.1257425742574263E-3</v>
      </c>
      <c r="S147">
        <f t="shared" si="50"/>
        <v>0</v>
      </c>
      <c r="T147">
        <f t="shared" si="51"/>
        <v>5.1770000000000002E-3</v>
      </c>
      <c r="U147">
        <f t="shared" si="52"/>
        <v>-0.01</v>
      </c>
      <c r="V147">
        <f t="shared" si="53"/>
        <v>3.3333333333333335E-3</v>
      </c>
      <c r="W147" t="str">
        <f t="shared" si="54"/>
        <v>0-0.05</v>
      </c>
    </row>
    <row r="148" spans="1:23">
      <c r="A148" t="s">
        <v>798</v>
      </c>
      <c r="B148" t="s">
        <v>799</v>
      </c>
      <c r="C148" s="6">
        <v>1.7479999999999999E-2</v>
      </c>
      <c r="D148">
        <v>2.9999999999999997E-4</v>
      </c>
      <c r="E148" t="s">
        <v>1196</v>
      </c>
      <c r="F148">
        <v>2228741</v>
      </c>
      <c r="G148" t="s">
        <v>802</v>
      </c>
      <c r="H148">
        <v>196070000</v>
      </c>
      <c r="I148">
        <v>3430000</v>
      </c>
      <c r="J148">
        <f>Cleaned_data[[#This Row],[Volume (24h) USD]]/Cleaned_data[[#This Row],[Circulating_Supply($)]]</f>
        <v>1.1367067883919009E-2</v>
      </c>
      <c r="K148">
        <f>RANK(Cleaned_data[[#This Row],[  Market Cap]],Cleaned_data[ [  Market Cap] ],0)</f>
        <v>147</v>
      </c>
      <c r="L148" t="str">
        <f t="shared" si="55"/>
        <v>0-0.5</v>
      </c>
      <c r="M148">
        <f t="shared" si="44"/>
        <v>1.7479999999999999E-2</v>
      </c>
      <c r="N148" t="str">
        <f t="shared" si="45"/>
        <v>Hide</v>
      </c>
      <c r="O148" t="str">
        <f t="shared" si="46"/>
        <v>0-50</v>
      </c>
      <c r="P148">
        <f t="shared" si="47"/>
        <v>1.7474757572728181E-2</v>
      </c>
      <c r="Q148" t="str">
        <f t="shared" si="48"/>
        <v>Up to $10</v>
      </c>
      <c r="R148">
        <f t="shared" si="49"/>
        <v>1.7306930693069305E-2</v>
      </c>
      <c r="S148">
        <f t="shared" si="50"/>
        <v>2.0999999999999999E-3</v>
      </c>
      <c r="T148">
        <f t="shared" si="51"/>
        <v>1.7443368925256959E-2</v>
      </c>
      <c r="U148">
        <f t="shared" si="52"/>
        <v>-0.01</v>
      </c>
      <c r="V148">
        <f t="shared" si="53"/>
        <v>2.5333333333333336E-3</v>
      </c>
      <c r="W148" t="str">
        <f t="shared" si="54"/>
        <v>0-0.05</v>
      </c>
    </row>
    <row r="149" spans="1:23">
      <c r="A149" t="s">
        <v>803</v>
      </c>
      <c r="B149" t="s">
        <v>804</v>
      </c>
      <c r="C149" s="6">
        <v>5.6039999999999996E-3</v>
      </c>
      <c r="D149">
        <v>3.3999999999999998E-3</v>
      </c>
      <c r="E149" t="s">
        <v>1197</v>
      </c>
      <c r="F149">
        <v>183001</v>
      </c>
      <c r="G149" t="s">
        <v>808</v>
      </c>
      <c r="H149">
        <v>608350000</v>
      </c>
      <c r="I149">
        <v>3410000</v>
      </c>
      <c r="J149">
        <f>Cleaned_data[[#This Row],[Volume (24h) USD]]/Cleaned_data[[#This Row],[Circulating_Supply($)]]</f>
        <v>3.0081532012821567E-4</v>
      </c>
      <c r="K149">
        <f>RANK(Cleaned_data[[#This Row],[  Market Cap]],Cleaned_data[ [  Market Cap] ],0)</f>
        <v>148</v>
      </c>
      <c r="L149" t="str">
        <f t="shared" si="55"/>
        <v>0-0.5</v>
      </c>
      <c r="M149">
        <f t="shared" si="44"/>
        <v>5.6039999999999996E-3</v>
      </c>
      <c r="N149" t="str">
        <f t="shared" si="45"/>
        <v>Hide</v>
      </c>
      <c r="O149" t="str">
        <f t="shared" si="46"/>
        <v>0-50</v>
      </c>
      <c r="P149">
        <f t="shared" si="47"/>
        <v>5.5850109627267287E-3</v>
      </c>
      <c r="Q149" t="str">
        <f t="shared" si="48"/>
        <v>Up to $10</v>
      </c>
      <c r="R149">
        <f t="shared" si="49"/>
        <v>5.5485148514851481E-3</v>
      </c>
      <c r="S149">
        <f t="shared" si="50"/>
        <v>2.3799999999999998E-2</v>
      </c>
      <c r="T149">
        <f t="shared" si="51"/>
        <v>5.4737253369798785E-3</v>
      </c>
      <c r="U149">
        <f t="shared" si="52"/>
        <v>-0.01</v>
      </c>
      <c r="V149">
        <f t="shared" si="53"/>
        <v>5.7333333333333333E-3</v>
      </c>
      <c r="W149" t="str">
        <f t="shared" si="54"/>
        <v>0-0.05</v>
      </c>
    </row>
    <row r="150" spans="1:23">
      <c r="A150" t="s">
        <v>809</v>
      </c>
      <c r="B150" t="s">
        <v>810</v>
      </c>
      <c r="C150" s="6">
        <v>3.4489999999999998E-3</v>
      </c>
      <c r="D150">
        <v>8.9999999999999993E-3</v>
      </c>
      <c r="E150" t="s">
        <v>1198</v>
      </c>
      <c r="F150">
        <v>79437</v>
      </c>
      <c r="G150" t="s">
        <v>814</v>
      </c>
      <c r="H150">
        <v>805710000</v>
      </c>
      <c r="I150">
        <v>2780000</v>
      </c>
      <c r="J150">
        <f>Cleaned_data[[#This Row],[Volume (24h) USD]]/Cleaned_data[[#This Row],[Circulating_Supply($)]]</f>
        <v>9.8592545705030352E-5</v>
      </c>
      <c r="K150">
        <f>RANK(Cleaned_data[[#This Row],[  Market Cap]],Cleaned_data[ [  Market Cap] ],0)</f>
        <v>149</v>
      </c>
      <c r="L150" t="str">
        <f t="shared" si="55"/>
        <v>0-0.5</v>
      </c>
      <c r="M150">
        <f t="shared" si="44"/>
        <v>3.4489999999999998E-3</v>
      </c>
      <c r="N150" t="str">
        <f t="shared" si="45"/>
        <v>Show</v>
      </c>
      <c r="O150" t="str">
        <f t="shared" si="46"/>
        <v>0-50</v>
      </c>
      <c r="P150">
        <f t="shared" si="47"/>
        <v>3.4182358771060457E-3</v>
      </c>
      <c r="Q150" t="str">
        <f t="shared" si="48"/>
        <v>Up to $10</v>
      </c>
      <c r="R150">
        <f t="shared" si="49"/>
        <v>3.4148514851485147E-3</v>
      </c>
      <c r="S150">
        <f t="shared" si="50"/>
        <v>6.3E-2</v>
      </c>
      <c r="T150">
        <f t="shared" si="51"/>
        <v>3.244590780809031E-3</v>
      </c>
      <c r="U150">
        <f t="shared" si="52"/>
        <v>-0.01</v>
      </c>
      <c r="V150">
        <f t="shared" si="53"/>
        <v>2.0666666666666667E-2</v>
      </c>
      <c r="W150" t="str">
        <f t="shared" si="54"/>
        <v>0-0.05</v>
      </c>
    </row>
    <row r="151" spans="1:23">
      <c r="A151" t="s">
        <v>815</v>
      </c>
      <c r="B151" t="s">
        <v>816</v>
      </c>
      <c r="C151" s="6">
        <v>1.6019999999999999E-3</v>
      </c>
      <c r="D151">
        <v>1.1999999999999999E-3</v>
      </c>
      <c r="E151" t="s">
        <v>1198</v>
      </c>
      <c r="F151">
        <v>488742</v>
      </c>
      <c r="G151" t="s">
        <v>820</v>
      </c>
      <c r="H151">
        <v>1730000000</v>
      </c>
      <c r="I151">
        <v>2780000</v>
      </c>
      <c r="J151">
        <f>Cleaned_data[[#This Row],[Volume (24h) USD]]/Cleaned_data[[#This Row],[Circulating_Supply($)]]</f>
        <v>2.825098265895954E-4</v>
      </c>
      <c r="K151">
        <f>RANK(Cleaned_data[[#This Row],[  Market Cap]],Cleaned_data[ [  Market Cap] ],0)</f>
        <v>149</v>
      </c>
      <c r="L151" t="str">
        <f t="shared" si="55"/>
        <v>0-0.5</v>
      </c>
      <c r="M151">
        <f t="shared" si="44"/>
        <v>1.6019999999999999E-3</v>
      </c>
      <c r="N151" t="str">
        <f t="shared" si="45"/>
        <v>Hide</v>
      </c>
      <c r="O151" t="str">
        <f t="shared" si="46"/>
        <v>0-50</v>
      </c>
      <c r="P151">
        <f t="shared" si="47"/>
        <v>1.6000799041150616E-3</v>
      </c>
      <c r="Q151" t="str">
        <f t="shared" si="48"/>
        <v>Up to $10</v>
      </c>
      <c r="R151">
        <f t="shared" si="49"/>
        <v>1.5861386138613859E-3</v>
      </c>
      <c r="S151">
        <f t="shared" si="50"/>
        <v>8.3999999999999995E-3</v>
      </c>
      <c r="T151">
        <f t="shared" si="51"/>
        <v>1.5886552955176516E-3</v>
      </c>
      <c r="U151">
        <f t="shared" si="52"/>
        <v>-0.01</v>
      </c>
      <c r="V151">
        <f t="shared" si="53"/>
        <v>1.3333333333333369E-4</v>
      </c>
      <c r="W151" t="str">
        <f t="shared" si="54"/>
        <v>0-0.05</v>
      </c>
    </row>
    <row r="152" spans="1:23">
      <c r="A152" t="s">
        <v>821</v>
      </c>
      <c r="B152" t="s">
        <v>822</v>
      </c>
      <c r="C152" s="6">
        <v>1.5910000000000001E-2</v>
      </c>
      <c r="D152">
        <v>6.9999999999999999E-4</v>
      </c>
      <c r="E152" t="s">
        <v>1199</v>
      </c>
      <c r="F152">
        <v>906</v>
      </c>
      <c r="G152" t="s">
        <v>825</v>
      </c>
      <c r="H152">
        <v>173700000</v>
      </c>
      <c r="I152">
        <v>2760000</v>
      </c>
      <c r="J152">
        <f>Cleaned_data[[#This Row],[Volume (24h) USD]]/Cleaned_data[[#This Row],[Circulating_Supply($)]]</f>
        <v>5.2158894645941278E-6</v>
      </c>
      <c r="K152">
        <f>RANK(Cleaned_data[[#This Row],[  Market Cap]],Cleaned_data[ [  Market Cap] ],0)</f>
        <v>151</v>
      </c>
      <c r="L152" t="str">
        <f t="shared" si="55"/>
        <v>0-0.5</v>
      </c>
      <c r="M152">
        <f t="shared" si="44"/>
        <v>1.5910000000000001E-2</v>
      </c>
      <c r="N152" t="str">
        <f t="shared" si="45"/>
        <v>Show</v>
      </c>
      <c r="O152" t="str">
        <f t="shared" si="46"/>
        <v>0-50</v>
      </c>
      <c r="P152">
        <f t="shared" si="47"/>
        <v>1.589887079044669E-2</v>
      </c>
      <c r="Q152" t="str">
        <f t="shared" si="48"/>
        <v>Up to $10</v>
      </c>
      <c r="R152">
        <f t="shared" si="49"/>
        <v>1.5752475247524753E-2</v>
      </c>
      <c r="S152">
        <f t="shared" si="50"/>
        <v>4.8999999999999998E-3</v>
      </c>
      <c r="T152">
        <f t="shared" si="51"/>
        <v>1.5832421136431487E-2</v>
      </c>
      <c r="U152">
        <f t="shared" si="52"/>
        <v>-0.01</v>
      </c>
      <c r="V152">
        <f t="shared" si="53"/>
        <v>1.4666666666666671E-3</v>
      </c>
      <c r="W152" t="str">
        <f t="shared" si="54"/>
        <v>0-0.05</v>
      </c>
    </row>
    <row r="153" spans="1:23">
      <c r="A153" t="s">
        <v>826</v>
      </c>
      <c r="B153" t="s">
        <v>826</v>
      </c>
      <c r="C153" s="6">
        <v>3.1189999999999999E-4</v>
      </c>
      <c r="D153">
        <v>3.3E-3</v>
      </c>
      <c r="E153" t="s">
        <v>1199</v>
      </c>
      <c r="F153">
        <v>138487</v>
      </c>
      <c r="G153" t="s">
        <v>829</v>
      </c>
      <c r="H153">
        <v>8850000000</v>
      </c>
      <c r="I153">
        <v>2760000</v>
      </c>
      <c r="J153">
        <f>Cleaned_data[[#This Row],[Volume (24h) USD]]/Cleaned_data[[#This Row],[Circulating_Supply($)]]</f>
        <v>1.5648248587570623E-5</v>
      </c>
      <c r="K153">
        <f>RANK(Cleaned_data[[#This Row],[  Market Cap]],Cleaned_data[ [  Market Cap] ],0)</f>
        <v>151</v>
      </c>
      <c r="L153" t="str">
        <f t="shared" si="55"/>
        <v>0-0.5</v>
      </c>
      <c r="M153">
        <f t="shared" si="44"/>
        <v>3.1189999999999999E-4</v>
      </c>
      <c r="N153" t="str">
        <f t="shared" si="45"/>
        <v>Hide</v>
      </c>
      <c r="O153" t="str">
        <f t="shared" si="46"/>
        <v>0-50</v>
      </c>
      <c r="P153">
        <f t="shared" si="47"/>
        <v>3.1087411541911686E-4</v>
      </c>
      <c r="Q153" t="str">
        <f t="shared" si="48"/>
        <v>Up to $10</v>
      </c>
      <c r="R153">
        <f t="shared" si="49"/>
        <v>3.0881188118811882E-4</v>
      </c>
      <c r="S153">
        <f t="shared" si="50"/>
        <v>2.3099999999999999E-2</v>
      </c>
      <c r="T153">
        <f t="shared" si="51"/>
        <v>3.0485778516274072E-4</v>
      </c>
      <c r="U153">
        <f t="shared" si="52"/>
        <v>-0.01</v>
      </c>
      <c r="V153">
        <f t="shared" si="53"/>
        <v>5.4666666666666657E-3</v>
      </c>
      <c r="W153" t="str">
        <f t="shared" si="54"/>
        <v>0-0.05</v>
      </c>
    </row>
    <row r="154" spans="1:23">
      <c r="A154" t="s">
        <v>830</v>
      </c>
      <c r="B154" t="s">
        <v>831</v>
      </c>
      <c r="C154" s="6">
        <v>184.44</v>
      </c>
      <c r="D154">
        <v>6.9999999999999999E-4</v>
      </c>
      <c r="E154" t="s">
        <v>1199</v>
      </c>
      <c r="F154">
        <v>2435016</v>
      </c>
      <c r="G154" t="s">
        <v>834</v>
      </c>
      <c r="H154">
        <v>14980</v>
      </c>
      <c r="I154">
        <v>2760000</v>
      </c>
      <c r="J154">
        <f>Cleaned_data[[#This Row],[Volume (24h) USD]]/Cleaned_data[[#This Row],[Circulating_Supply($)]]</f>
        <v>162.55113484646196</v>
      </c>
      <c r="K154">
        <f>RANK(Cleaned_data[[#This Row],[  Market Cap]],Cleaned_data[ [  Market Cap] ],0)</f>
        <v>151</v>
      </c>
      <c r="L154" t="str">
        <f t="shared" si="55"/>
        <v>100-10000</v>
      </c>
      <c r="M154">
        <f t="shared" si="44"/>
        <v>184.44</v>
      </c>
      <c r="N154" t="str">
        <f t="shared" si="45"/>
        <v>Show</v>
      </c>
      <c r="O154" t="str">
        <f t="shared" si="46"/>
        <v>Above 50</v>
      </c>
      <c r="P154">
        <f t="shared" si="47"/>
        <v>184.31098231238136</v>
      </c>
      <c r="Q154" t="str">
        <f t="shared" si="48"/>
        <v>&gt;= $10</v>
      </c>
      <c r="R154">
        <f t="shared" si="49"/>
        <v>182.61386138613861</v>
      </c>
      <c r="S154">
        <f t="shared" si="50"/>
        <v>4.8999999999999998E-3</v>
      </c>
      <c r="T154">
        <f t="shared" si="51"/>
        <v>183.54065081102598</v>
      </c>
      <c r="U154">
        <f t="shared" si="52"/>
        <v>-0.01</v>
      </c>
      <c r="V154">
        <f t="shared" si="53"/>
        <v>1.4666666666666671E-3</v>
      </c>
      <c r="W154" t="str">
        <f t="shared" si="54"/>
        <v>&gt;$50</v>
      </c>
    </row>
    <row r="155" spans="1:23">
      <c r="A155" t="s">
        <v>835</v>
      </c>
      <c r="B155" t="s">
        <v>836</v>
      </c>
      <c r="C155" s="6">
        <v>7.6110000000000001E-5</v>
      </c>
      <c r="D155">
        <v>8.0000000000000004E-4</v>
      </c>
      <c r="E155" t="s">
        <v>1199</v>
      </c>
      <c r="F155">
        <v>738686</v>
      </c>
      <c r="G155" t="s">
        <v>839</v>
      </c>
      <c r="H155">
        <v>36270000000</v>
      </c>
      <c r="I155">
        <v>2760000</v>
      </c>
      <c r="J155">
        <f>Cleaned_data[[#This Row],[Volume (24h) USD]]/Cleaned_data[[#This Row],[Circulating_Supply($)]]</f>
        <v>2.0366308243727598E-5</v>
      </c>
      <c r="K155">
        <f>RANK(Cleaned_data[[#This Row],[  Market Cap]],Cleaned_data[ [  Market Cap] ],0)</f>
        <v>151</v>
      </c>
      <c r="L155" t="str">
        <f t="shared" si="55"/>
        <v>0-0.5</v>
      </c>
      <c r="M155">
        <f t="shared" si="44"/>
        <v>7.6110000000000001E-5</v>
      </c>
      <c r="N155" t="str">
        <f t="shared" si="45"/>
        <v>Hide</v>
      </c>
      <c r="O155" t="str">
        <f t="shared" si="46"/>
        <v>0-50</v>
      </c>
      <c r="P155">
        <f t="shared" si="47"/>
        <v>7.6049160671462832E-5</v>
      </c>
      <c r="Q155" t="str">
        <f t="shared" si="48"/>
        <v>Up to $10</v>
      </c>
      <c r="R155">
        <f t="shared" si="49"/>
        <v>7.5356435643564356E-5</v>
      </c>
      <c r="S155">
        <f t="shared" si="50"/>
        <v>5.5999999999999999E-3</v>
      </c>
      <c r="T155">
        <f t="shared" si="51"/>
        <v>7.5686157517899759E-5</v>
      </c>
      <c r="U155">
        <f t="shared" si="52"/>
        <v>-0.01</v>
      </c>
      <c r="V155">
        <f t="shared" si="53"/>
        <v>1.1999999999999999E-3</v>
      </c>
      <c r="W155" t="str">
        <f t="shared" si="54"/>
        <v>0-0.05</v>
      </c>
    </row>
    <row r="156" spans="1:23">
      <c r="A156" t="s">
        <v>840</v>
      </c>
      <c r="B156" t="s">
        <v>841</v>
      </c>
      <c r="C156" s="6">
        <v>1.324E-2</v>
      </c>
      <c r="D156">
        <v>1.18E-2</v>
      </c>
      <c r="E156" t="s">
        <v>1199</v>
      </c>
      <c r="F156">
        <v>203246</v>
      </c>
      <c r="G156" t="s">
        <v>845</v>
      </c>
      <c r="H156">
        <v>208340000</v>
      </c>
      <c r="I156">
        <v>2760000</v>
      </c>
      <c r="J156">
        <f>Cleaned_data[[#This Row],[Volume (24h) USD]]/Cleaned_data[[#This Row],[Circulating_Supply($)]]</f>
        <v>9.755495824133628E-4</v>
      </c>
      <c r="K156">
        <f>RANK(Cleaned_data[[#This Row],[  Market Cap]],Cleaned_data[ [  Market Cap] ],0)</f>
        <v>151</v>
      </c>
      <c r="L156" t="str">
        <f t="shared" si="55"/>
        <v>0-0.5</v>
      </c>
      <c r="M156">
        <f t="shared" si="44"/>
        <v>1.324E-2</v>
      </c>
      <c r="N156" t="str">
        <f t="shared" si="45"/>
        <v>Hide</v>
      </c>
      <c r="O156" t="str">
        <f t="shared" si="46"/>
        <v>0-50</v>
      </c>
      <c r="P156">
        <f t="shared" si="47"/>
        <v>1.3085590037556829E-2</v>
      </c>
      <c r="Q156" t="str">
        <f t="shared" si="48"/>
        <v>Up to $10</v>
      </c>
      <c r="R156">
        <f t="shared" si="49"/>
        <v>1.3108910891089108E-2</v>
      </c>
      <c r="S156">
        <f t="shared" si="50"/>
        <v>8.2599999999999993E-2</v>
      </c>
      <c r="T156">
        <f t="shared" si="51"/>
        <v>1.2229817106964715E-2</v>
      </c>
      <c r="U156">
        <f t="shared" si="52"/>
        <v>-0.01</v>
      </c>
      <c r="V156">
        <f t="shared" si="53"/>
        <v>2.813333333333333E-2</v>
      </c>
      <c r="W156" t="str">
        <f t="shared" si="54"/>
        <v>0-0.05</v>
      </c>
    </row>
    <row r="157" spans="1:23">
      <c r="A157" t="s">
        <v>846</v>
      </c>
      <c r="B157" t="s">
        <v>847</v>
      </c>
      <c r="C157" s="6">
        <v>2.8510000000000001E-2</v>
      </c>
      <c r="D157">
        <v>2.7400000000000001E-2</v>
      </c>
      <c r="E157" t="s">
        <v>1200</v>
      </c>
      <c r="F157">
        <v>263052</v>
      </c>
      <c r="G157" t="s">
        <v>851</v>
      </c>
      <c r="H157">
        <v>96440000</v>
      </c>
      <c r="I157">
        <v>2750000</v>
      </c>
      <c r="J157">
        <f>Cleaned_data[[#This Row],[Volume (24h) USD]]/Cleaned_data[[#This Row],[Circulating_Supply($)]]</f>
        <v>2.7276233927830775E-3</v>
      </c>
      <c r="K157">
        <f>RANK(Cleaned_data[[#This Row],[  Market Cap]],Cleaned_data[ [  Market Cap] ],0)</f>
        <v>156</v>
      </c>
      <c r="L157" t="str">
        <f t="shared" si="55"/>
        <v>0-0.5</v>
      </c>
      <c r="M157">
        <f t="shared" si="44"/>
        <v>2.8510000000000001E-2</v>
      </c>
      <c r="N157" t="str">
        <f t="shared" si="45"/>
        <v>Show</v>
      </c>
      <c r="O157" t="str">
        <f t="shared" si="46"/>
        <v>0-50</v>
      </c>
      <c r="P157">
        <f t="shared" si="47"/>
        <v>2.7749659334241773E-2</v>
      </c>
      <c r="Q157" t="str">
        <f t="shared" si="48"/>
        <v>Up to $10</v>
      </c>
      <c r="R157">
        <f t="shared" si="49"/>
        <v>2.8227722772277229E-2</v>
      </c>
      <c r="S157">
        <f t="shared" si="50"/>
        <v>0.1918</v>
      </c>
      <c r="T157">
        <f t="shared" si="51"/>
        <v>2.3921798959556973E-2</v>
      </c>
      <c r="U157">
        <f t="shared" si="52"/>
        <v>-0.01</v>
      </c>
      <c r="V157">
        <f t="shared" si="53"/>
        <v>6.9733333333333328E-2</v>
      </c>
      <c r="W157" t="str">
        <f t="shared" si="54"/>
        <v>0-0.05</v>
      </c>
    </row>
    <row r="158" spans="1:23">
      <c r="A158" t="s">
        <v>852</v>
      </c>
      <c r="B158" t="s">
        <v>853</v>
      </c>
      <c r="C158" s="6">
        <v>3.0609999999999999E-3</v>
      </c>
      <c r="D158">
        <v>5.0000000000000001E-4</v>
      </c>
      <c r="E158" t="s">
        <v>1201</v>
      </c>
      <c r="F158">
        <v>306507</v>
      </c>
      <c r="G158" t="s">
        <v>856</v>
      </c>
      <c r="H158">
        <v>896560000</v>
      </c>
      <c r="I158">
        <v>2740000</v>
      </c>
      <c r="J158">
        <f>Cleaned_data[[#This Row],[Volume (24h) USD]]/Cleaned_data[[#This Row],[Circulating_Supply($)]]</f>
        <v>3.4187003658427769E-4</v>
      </c>
      <c r="K158">
        <f>RANK(Cleaned_data[[#This Row],[  Market Cap]],Cleaned_data[ [  Market Cap] ],0)</f>
        <v>157</v>
      </c>
      <c r="L158" t="str">
        <f t="shared" si="55"/>
        <v>0-0.5</v>
      </c>
      <c r="M158">
        <f t="shared" si="44"/>
        <v>3.0609999999999999E-3</v>
      </c>
      <c r="N158" t="str">
        <f t="shared" si="45"/>
        <v>Hide</v>
      </c>
      <c r="O158" t="str">
        <f t="shared" si="46"/>
        <v>0-50</v>
      </c>
      <c r="P158">
        <f t="shared" si="47"/>
        <v>3.0594702648675661E-3</v>
      </c>
      <c r="Q158" t="str">
        <f t="shared" si="48"/>
        <v>Up to $10</v>
      </c>
      <c r="R158">
        <f t="shared" si="49"/>
        <v>3.0306930693069305E-3</v>
      </c>
      <c r="S158">
        <f t="shared" si="50"/>
        <v>3.5000000000000001E-3</v>
      </c>
      <c r="T158">
        <f t="shared" si="51"/>
        <v>3.0503238664673638E-3</v>
      </c>
      <c r="U158">
        <f t="shared" si="52"/>
        <v>-0.01</v>
      </c>
      <c r="V158">
        <f t="shared" si="53"/>
        <v>2E-3</v>
      </c>
      <c r="W158" t="str">
        <f t="shared" si="54"/>
        <v>0-0.05</v>
      </c>
    </row>
    <row r="159" spans="1:23">
      <c r="A159" t="s">
        <v>857</v>
      </c>
      <c r="B159" t="s">
        <v>858</v>
      </c>
      <c r="C159" s="6">
        <v>7.4999999999999997E-3</v>
      </c>
      <c r="D159">
        <v>6.9999999999999999E-4</v>
      </c>
      <c r="E159" t="s">
        <v>1201</v>
      </c>
      <c r="F159">
        <v>179594</v>
      </c>
      <c r="G159" t="s">
        <v>861</v>
      </c>
      <c r="H159">
        <v>365830000</v>
      </c>
      <c r="I159">
        <v>2740000</v>
      </c>
      <c r="J159">
        <f>Cleaned_data[[#This Row],[Volume (24h) USD]]/Cleaned_data[[#This Row],[Circulating_Supply($)]]</f>
        <v>4.9092201295683783E-4</v>
      </c>
      <c r="K159">
        <f>RANK(Cleaned_data[[#This Row],[  Market Cap]],Cleaned_data[ [  Market Cap] ],0)</f>
        <v>157</v>
      </c>
      <c r="L159" t="str">
        <f t="shared" si="55"/>
        <v>0-0.5</v>
      </c>
      <c r="M159">
        <f t="shared" si="44"/>
        <v>7.4999999999999997E-3</v>
      </c>
      <c r="N159" t="str">
        <f t="shared" si="45"/>
        <v>Hide</v>
      </c>
      <c r="O159" t="str">
        <f t="shared" si="46"/>
        <v>0-50</v>
      </c>
      <c r="P159">
        <f t="shared" si="47"/>
        <v>7.4947536724292996E-3</v>
      </c>
      <c r="Q159" t="str">
        <f t="shared" si="48"/>
        <v>Up to $10</v>
      </c>
      <c r="R159">
        <f t="shared" si="49"/>
        <v>7.4257425742574254E-3</v>
      </c>
      <c r="S159">
        <f t="shared" si="50"/>
        <v>4.8999999999999998E-3</v>
      </c>
      <c r="T159">
        <f t="shared" si="51"/>
        <v>7.4634291969350192E-3</v>
      </c>
      <c r="U159">
        <f t="shared" si="52"/>
        <v>-0.01</v>
      </c>
      <c r="V159">
        <f t="shared" si="53"/>
        <v>1.4666666666666671E-3</v>
      </c>
      <c r="W159" t="str">
        <f t="shared" si="54"/>
        <v>0-0.05</v>
      </c>
    </row>
    <row r="160" spans="1:23">
      <c r="A160" t="s">
        <v>862</v>
      </c>
      <c r="B160" t="s">
        <v>863</v>
      </c>
      <c r="C160" s="6">
        <v>9.1570000000000002E-3</v>
      </c>
      <c r="D160">
        <v>4.0000000000000002E-4</v>
      </c>
      <c r="E160" t="s">
        <v>1202</v>
      </c>
      <c r="F160">
        <v>8587</v>
      </c>
      <c r="G160" t="s">
        <v>866</v>
      </c>
      <c r="H160">
        <v>245000000</v>
      </c>
      <c r="I160">
        <v>2240000</v>
      </c>
      <c r="J160">
        <f>Cleaned_data[[#This Row],[Volume (24h) USD]]/Cleaned_data[[#This Row],[Circulating_Supply($)]]</f>
        <v>3.5048979591836732E-5</v>
      </c>
      <c r="K160">
        <f>RANK(Cleaned_data[[#This Row],[  Market Cap]],Cleaned_data[ [  Market Cap] ],0)</f>
        <v>159</v>
      </c>
      <c r="L160" t="str">
        <f t="shared" si="55"/>
        <v>0-0.5</v>
      </c>
      <c r="M160">
        <f t="shared" si="44"/>
        <v>9.1570000000000002E-3</v>
      </c>
      <c r="N160" t="str">
        <f t="shared" si="45"/>
        <v>Show</v>
      </c>
      <c r="O160" t="str">
        <f t="shared" si="46"/>
        <v>0-50</v>
      </c>
      <c r="P160">
        <f t="shared" si="47"/>
        <v>9.1533386645341868E-3</v>
      </c>
      <c r="Q160" t="str">
        <f t="shared" si="48"/>
        <v>Up to $10</v>
      </c>
      <c r="R160">
        <f t="shared" si="49"/>
        <v>9.0663366336633661E-3</v>
      </c>
      <c r="S160">
        <f t="shared" si="50"/>
        <v>2.8E-3</v>
      </c>
      <c r="T160">
        <f t="shared" si="51"/>
        <v>9.1314319904268054E-3</v>
      </c>
      <c r="U160">
        <f t="shared" si="52"/>
        <v>-0.01</v>
      </c>
      <c r="V160">
        <f t="shared" si="53"/>
        <v>2.2666666666666668E-3</v>
      </c>
      <c r="W160" t="str">
        <f t="shared" si="54"/>
        <v>0-0.05</v>
      </c>
    </row>
    <row r="161" spans="1:23">
      <c r="A161" t="s">
        <v>867</v>
      </c>
      <c r="B161" t="s">
        <v>868</v>
      </c>
      <c r="C161" s="6">
        <v>2.3099999999999999E-2</v>
      </c>
      <c r="D161">
        <v>2.0000000000000001E-4</v>
      </c>
      <c r="E161" t="s">
        <v>1202</v>
      </c>
      <c r="F161">
        <v>324150</v>
      </c>
      <c r="G161" t="s">
        <v>871</v>
      </c>
      <c r="H161">
        <v>96970000</v>
      </c>
      <c r="I161">
        <v>2240000</v>
      </c>
      <c r="J161">
        <f>Cleaned_data[[#This Row],[Volume (24h) USD]]/Cleaned_data[[#This Row],[Circulating_Supply($)]]</f>
        <v>3.3427864287924099E-3</v>
      </c>
      <c r="K161">
        <f>RANK(Cleaned_data[[#This Row],[  Market Cap]],Cleaned_data[ [  Market Cap] ],0)</f>
        <v>159</v>
      </c>
      <c r="L161" t="str">
        <f t="shared" si="55"/>
        <v>0-0.5</v>
      </c>
      <c r="M161">
        <f t="shared" si="44"/>
        <v>2.3099999999999999E-2</v>
      </c>
      <c r="N161" t="str">
        <f t="shared" si="45"/>
        <v>Hide</v>
      </c>
      <c r="O161" t="str">
        <f t="shared" si="46"/>
        <v>0-50</v>
      </c>
      <c r="P161">
        <f t="shared" si="47"/>
        <v>2.3095380923815235E-2</v>
      </c>
      <c r="Q161" t="str">
        <f t="shared" si="48"/>
        <v>Up to $10</v>
      </c>
      <c r="R161">
        <f t="shared" si="49"/>
        <v>2.2871287128712871E-2</v>
      </c>
      <c r="S161">
        <f t="shared" si="50"/>
        <v>1.4E-3</v>
      </c>
      <c r="T161">
        <f t="shared" si="51"/>
        <v>2.3067705212702214E-2</v>
      </c>
      <c r="U161">
        <f t="shared" si="52"/>
        <v>-0.01</v>
      </c>
      <c r="V161">
        <f t="shared" si="53"/>
        <v>2.8E-3</v>
      </c>
      <c r="W161" t="str">
        <f t="shared" si="54"/>
        <v>0-0.05</v>
      </c>
    </row>
    <row r="162" spans="1:23">
      <c r="A162" t="s">
        <v>872</v>
      </c>
      <c r="B162" t="s">
        <v>873</v>
      </c>
      <c r="C162" s="6">
        <v>894.78</v>
      </c>
      <c r="D162">
        <v>0</v>
      </c>
      <c r="E162" t="s">
        <v>1202</v>
      </c>
      <c r="F162">
        <v>923157</v>
      </c>
      <c r="G162" t="s">
        <v>876</v>
      </c>
      <c r="H162">
        <v>2490</v>
      </c>
      <c r="I162">
        <v>2240000</v>
      </c>
      <c r="J162">
        <f>Cleaned_data[[#This Row],[Volume (24h) USD]]/Cleaned_data[[#This Row],[Circulating_Supply($)]]</f>
        <v>370.74578313253011</v>
      </c>
      <c r="K162">
        <f>RANK(Cleaned_data[[#This Row],[  Market Cap]],Cleaned_data[ [  Market Cap] ],0)</f>
        <v>159</v>
      </c>
      <c r="L162" t="str">
        <f t="shared" si="55"/>
        <v>100-10000</v>
      </c>
      <c r="M162">
        <f t="shared" ref="M162:M193" si="56">VALUE(C162)</f>
        <v>894.78</v>
      </c>
      <c r="N162" t="str">
        <f t="shared" ref="N162:N193" si="57">IF(OR(LEFT(A162,1)="A",LEFT(A162,1)="E",LEFT(A162,1)="I",LEFT(A162,1)="O",LEFT(A162,1)="U",LEFT(A162,1)="B",LEFT(A162,1)="C",LEFT(A162,1)="D"),"Show","Hide")</f>
        <v>Hide</v>
      </c>
      <c r="O162" t="str">
        <f t="shared" ref="O162:O193" si="58">IF(C162&lt;=50,"0-50","Above 50")</f>
        <v>Above 50</v>
      </c>
      <c r="P162">
        <f t="shared" ref="P162:P193" si="59">C162/(1+D162)</f>
        <v>894.78</v>
      </c>
      <c r="Q162" t="str">
        <f t="shared" ref="Q162:Q193" si="60">IF(M162&lt;10,"Up to $10","&gt;= $10")</f>
        <v>&gt;= $10</v>
      </c>
      <c r="R162">
        <f t="shared" ref="R162:R193" si="61">M162/(1-U162)</f>
        <v>885.9207920792079</v>
      </c>
      <c r="S162">
        <f t="shared" ref="S162:S193" si="62">D162*7</f>
        <v>0</v>
      </c>
      <c r="T162">
        <f t="shared" ref="T162:T193" si="63" xml:space="preserve"> M162/(1+S162)</f>
        <v>894.78</v>
      </c>
      <c r="U162">
        <f t="shared" si="52"/>
        <v>-0.01</v>
      </c>
      <c r="V162">
        <f t="shared" ref="V162:V193" si="64">ABS(AVERAGE(D162,U162,S162))</f>
        <v>3.3333333333333335E-3</v>
      </c>
      <c r="W162" t="str">
        <f t="shared" ref="W162:W193" si="65">IF(M162&lt;=0.05,"0-0.05",
IF(M162&lt;=0.5,"0.05-0.5",
IF(M162&lt;=5,"0.5-5",
IF(M162&lt;=50,"5-50",
"&gt;$50"))))</f>
        <v>&gt;$50</v>
      </c>
    </row>
    <row r="163" spans="1:23">
      <c r="A163" t="s">
        <v>877</v>
      </c>
      <c r="B163" t="s">
        <v>877</v>
      </c>
      <c r="C163" s="6">
        <v>9.7510000000000001E-4</v>
      </c>
      <c r="D163">
        <v>2.9999999999999997E-4</v>
      </c>
      <c r="E163" t="s">
        <v>1203</v>
      </c>
      <c r="F163">
        <v>225781</v>
      </c>
      <c r="G163" t="s">
        <v>880</v>
      </c>
      <c r="H163">
        <v>2280000000</v>
      </c>
      <c r="I163">
        <v>2230000</v>
      </c>
      <c r="J163">
        <f>Cleaned_data[[#This Row],[Volume (24h) USD]]/Cleaned_data[[#This Row],[Circulating_Supply($)]]</f>
        <v>9.9026754385964907E-5</v>
      </c>
      <c r="K163">
        <f>RANK(Cleaned_data[[#This Row],[  Market Cap]],Cleaned_data[ [  Market Cap] ],0)</f>
        <v>162</v>
      </c>
      <c r="L163" t="str">
        <f t="shared" si="55"/>
        <v>0-0.5</v>
      </c>
      <c r="M163">
        <f t="shared" si="56"/>
        <v>9.7510000000000001E-4</v>
      </c>
      <c r="N163" t="str">
        <f t="shared" si="57"/>
        <v>Hide</v>
      </c>
      <c r="O163" t="str">
        <f t="shared" si="58"/>
        <v>0-50</v>
      </c>
      <c r="P163">
        <f t="shared" si="59"/>
        <v>9.748075577326802E-4</v>
      </c>
      <c r="Q163" t="str">
        <f t="shared" si="60"/>
        <v>Up to $10</v>
      </c>
      <c r="R163">
        <f t="shared" si="61"/>
        <v>9.6544554455445545E-4</v>
      </c>
      <c r="S163">
        <f t="shared" si="62"/>
        <v>2.0999999999999999E-3</v>
      </c>
      <c r="T163">
        <f t="shared" si="63"/>
        <v>9.7305658117952305E-4</v>
      </c>
      <c r="U163">
        <f t="shared" si="52"/>
        <v>-0.01</v>
      </c>
      <c r="V163">
        <f t="shared" si="64"/>
        <v>2.5333333333333336E-3</v>
      </c>
      <c r="W163" t="str">
        <f t="shared" si="65"/>
        <v>0-0.05</v>
      </c>
    </row>
    <row r="164" spans="1:23">
      <c r="A164" t="s">
        <v>881</v>
      </c>
      <c r="B164" t="s">
        <v>882</v>
      </c>
      <c r="C164" s="6">
        <v>4.3140000000000001E-3</v>
      </c>
      <c r="D164">
        <v>3.7000000000000002E-3</v>
      </c>
      <c r="E164" t="s">
        <v>1204</v>
      </c>
      <c r="F164">
        <v>67570</v>
      </c>
      <c r="G164" t="s">
        <v>885</v>
      </c>
      <c r="H164">
        <v>515000000</v>
      </c>
      <c r="I164">
        <v>2220000</v>
      </c>
      <c r="J164">
        <f>Cleaned_data[[#This Row],[Volume (24h) USD]]/Cleaned_data[[#This Row],[Circulating_Supply($)]]</f>
        <v>1.3120388349514562E-4</v>
      </c>
      <c r="K164">
        <f>RANK(Cleaned_data[[#This Row],[  Market Cap]],Cleaned_data[ [  Market Cap] ],0)</f>
        <v>163</v>
      </c>
      <c r="L164" t="str">
        <f t="shared" si="55"/>
        <v>0-0.5</v>
      </c>
      <c r="M164">
        <f t="shared" si="56"/>
        <v>4.3140000000000001E-3</v>
      </c>
      <c r="N164" t="str">
        <f t="shared" si="57"/>
        <v>Hide</v>
      </c>
      <c r="O164" t="str">
        <f t="shared" si="58"/>
        <v>0-50</v>
      </c>
      <c r="P164">
        <f t="shared" si="59"/>
        <v>4.298097040948491E-3</v>
      </c>
      <c r="Q164" t="str">
        <f t="shared" si="60"/>
        <v>Up to $10</v>
      </c>
      <c r="R164">
        <f t="shared" si="61"/>
        <v>4.2712871287128714E-3</v>
      </c>
      <c r="S164">
        <f t="shared" si="62"/>
        <v>2.5899999999999999E-2</v>
      </c>
      <c r="T164">
        <f t="shared" si="63"/>
        <v>4.2050882152256559E-3</v>
      </c>
      <c r="U164">
        <f t="shared" si="52"/>
        <v>-0.01</v>
      </c>
      <c r="V164">
        <f t="shared" si="64"/>
        <v>6.5333333333333328E-3</v>
      </c>
      <c r="W164" t="str">
        <f t="shared" si="65"/>
        <v>0-0.05</v>
      </c>
    </row>
    <row r="165" spans="1:23">
      <c r="A165" t="s">
        <v>886</v>
      </c>
      <c r="B165" t="s">
        <v>887</v>
      </c>
      <c r="C165" s="6">
        <v>1.7829999999999999E-2</v>
      </c>
      <c r="D165">
        <v>0</v>
      </c>
      <c r="E165" t="s">
        <v>1204</v>
      </c>
      <c r="F165">
        <v>2146</v>
      </c>
      <c r="G165" t="s">
        <v>890</v>
      </c>
      <c r="H165">
        <v>124420000</v>
      </c>
      <c r="I165">
        <v>2220000</v>
      </c>
      <c r="J165">
        <f>Cleaned_data[[#This Row],[Volume (24h) USD]]/Cleaned_data[[#This Row],[Circulating_Supply($)]]</f>
        <v>1.7248030863205273E-5</v>
      </c>
      <c r="K165">
        <f>RANK(Cleaned_data[[#This Row],[  Market Cap]],Cleaned_data[ [  Market Cap] ],0)</f>
        <v>163</v>
      </c>
      <c r="L165" t="str">
        <f t="shared" si="55"/>
        <v>0-0.5</v>
      </c>
      <c r="M165">
        <f t="shared" si="56"/>
        <v>1.7829999999999999E-2</v>
      </c>
      <c r="N165" t="str">
        <f t="shared" si="57"/>
        <v>Hide</v>
      </c>
      <c r="O165" t="str">
        <f t="shared" si="58"/>
        <v>0-50</v>
      </c>
      <c r="P165">
        <f t="shared" si="59"/>
        <v>1.7829999999999999E-2</v>
      </c>
      <c r="Q165" t="str">
        <f t="shared" si="60"/>
        <v>Up to $10</v>
      </c>
      <c r="R165">
        <f t="shared" si="61"/>
        <v>1.7653465346534652E-2</v>
      </c>
      <c r="S165">
        <f t="shared" si="62"/>
        <v>0</v>
      </c>
      <c r="T165">
        <f t="shared" si="63"/>
        <v>1.7829999999999999E-2</v>
      </c>
      <c r="U165">
        <f t="shared" si="52"/>
        <v>-0.01</v>
      </c>
      <c r="V165">
        <f t="shared" si="64"/>
        <v>3.3333333333333335E-3</v>
      </c>
      <c r="W165" t="str">
        <f t="shared" si="65"/>
        <v>0-0.05</v>
      </c>
    </row>
    <row r="166" spans="1:23">
      <c r="A166" t="s">
        <v>891</v>
      </c>
      <c r="B166" t="s">
        <v>892</v>
      </c>
      <c r="C166" s="6">
        <v>4.1219999999999998E-3</v>
      </c>
      <c r="D166">
        <v>1.1000000000000001E-3</v>
      </c>
      <c r="E166" t="s">
        <v>1205</v>
      </c>
      <c r="F166">
        <v>123024</v>
      </c>
      <c r="G166" t="s">
        <v>895</v>
      </c>
      <c r="H166">
        <v>535210000.00000006</v>
      </c>
      <c r="I166">
        <v>2210000</v>
      </c>
      <c r="J166">
        <f>Cleaned_data[[#This Row],[Volume (24h) USD]]/Cleaned_data[[#This Row],[Circulating_Supply($)]]</f>
        <v>2.2986117598699574E-4</v>
      </c>
      <c r="K166">
        <f>RANK(Cleaned_data[[#This Row],[  Market Cap]],Cleaned_data[ [  Market Cap] ],0)</f>
        <v>165</v>
      </c>
      <c r="L166" t="str">
        <f t="shared" si="55"/>
        <v>0-0.5</v>
      </c>
      <c r="M166">
        <f t="shared" si="56"/>
        <v>4.1219999999999998E-3</v>
      </c>
      <c r="N166" t="str">
        <f t="shared" si="57"/>
        <v>Hide</v>
      </c>
      <c r="O166" t="str">
        <f t="shared" si="58"/>
        <v>0-50</v>
      </c>
      <c r="P166">
        <f t="shared" si="59"/>
        <v>4.1174707821396454E-3</v>
      </c>
      <c r="Q166" t="str">
        <f t="shared" si="60"/>
        <v>Up to $10</v>
      </c>
      <c r="R166">
        <f t="shared" si="61"/>
        <v>4.0811881188118808E-3</v>
      </c>
      <c r="S166">
        <f t="shared" si="62"/>
        <v>7.7000000000000002E-3</v>
      </c>
      <c r="T166">
        <f t="shared" si="63"/>
        <v>4.0905031259303361E-3</v>
      </c>
      <c r="U166">
        <f t="shared" si="52"/>
        <v>-0.01</v>
      </c>
      <c r="V166">
        <f t="shared" si="64"/>
        <v>3.9999999999999991E-4</v>
      </c>
      <c r="W166" t="str">
        <f t="shared" si="65"/>
        <v>0-0.05</v>
      </c>
    </row>
    <row r="167" spans="1:23">
      <c r="A167" t="s">
        <v>896</v>
      </c>
      <c r="B167" t="s">
        <v>897</v>
      </c>
      <c r="C167" s="6">
        <v>1.4659999999999999E-2</v>
      </c>
      <c r="D167">
        <v>4.5999999999999999E-3</v>
      </c>
      <c r="E167" t="s">
        <v>1206</v>
      </c>
      <c r="F167">
        <v>72292</v>
      </c>
      <c r="G167" t="s">
        <v>901</v>
      </c>
      <c r="H167">
        <v>150000000</v>
      </c>
      <c r="I167">
        <v>2200000</v>
      </c>
      <c r="J167">
        <f>Cleaned_data[[#This Row],[Volume (24h) USD]]/Cleaned_data[[#This Row],[Circulating_Supply($)]]</f>
        <v>4.8194666666666666E-4</v>
      </c>
      <c r="K167">
        <f>RANK(Cleaned_data[[#This Row],[  Market Cap]],Cleaned_data[ [  Market Cap] ],0)</f>
        <v>166</v>
      </c>
      <c r="L167" t="str">
        <f t="shared" si="55"/>
        <v>0-0.5</v>
      </c>
      <c r="M167">
        <f t="shared" si="56"/>
        <v>1.4659999999999999E-2</v>
      </c>
      <c r="N167" t="str">
        <f t="shared" si="57"/>
        <v>Hide</v>
      </c>
      <c r="O167" t="str">
        <f t="shared" si="58"/>
        <v>0-50</v>
      </c>
      <c r="P167">
        <f t="shared" si="59"/>
        <v>1.4592872785188135E-2</v>
      </c>
      <c r="Q167" t="str">
        <f t="shared" si="60"/>
        <v>Up to $10</v>
      </c>
      <c r="R167">
        <f t="shared" si="61"/>
        <v>1.4514851485148514E-2</v>
      </c>
      <c r="S167">
        <f t="shared" si="62"/>
        <v>3.2199999999999999E-2</v>
      </c>
      <c r="T167">
        <f t="shared" si="63"/>
        <v>1.4202673900406897E-2</v>
      </c>
      <c r="U167">
        <f t="shared" si="52"/>
        <v>-0.01</v>
      </c>
      <c r="V167">
        <f t="shared" si="64"/>
        <v>8.9333333333333331E-3</v>
      </c>
      <c r="W167" t="str">
        <f t="shared" si="65"/>
        <v>0-0.05</v>
      </c>
    </row>
    <row r="168" spans="1:23">
      <c r="A168" t="s">
        <v>902</v>
      </c>
      <c r="B168" t="s">
        <v>903</v>
      </c>
      <c r="C168" s="6">
        <v>1.098E-2</v>
      </c>
      <c r="D168">
        <v>1.2E-2</v>
      </c>
      <c r="E168" t="s">
        <v>1206</v>
      </c>
      <c r="F168">
        <v>190835</v>
      </c>
      <c r="G168" t="s">
        <v>907</v>
      </c>
      <c r="H168">
        <v>199990000</v>
      </c>
      <c r="I168">
        <v>2200000</v>
      </c>
      <c r="J168">
        <f>Cleaned_data[[#This Row],[Volume (24h) USD]]/Cleaned_data[[#This Row],[Circulating_Supply($)]]</f>
        <v>9.5422271113555681E-4</v>
      </c>
      <c r="K168">
        <f>RANK(Cleaned_data[[#This Row],[  Market Cap]],Cleaned_data[ [  Market Cap] ],0)</f>
        <v>166</v>
      </c>
      <c r="L168" t="str">
        <f t="shared" si="55"/>
        <v>0-0.5</v>
      </c>
      <c r="M168">
        <f t="shared" si="56"/>
        <v>1.098E-2</v>
      </c>
      <c r="N168" t="str">
        <f t="shared" si="57"/>
        <v>Hide</v>
      </c>
      <c r="O168" t="str">
        <f t="shared" si="58"/>
        <v>0-50</v>
      </c>
      <c r="P168">
        <f t="shared" si="59"/>
        <v>1.0849802371541503E-2</v>
      </c>
      <c r="Q168" t="str">
        <f t="shared" si="60"/>
        <v>Up to $10</v>
      </c>
      <c r="R168">
        <f t="shared" si="61"/>
        <v>1.0871287128712871E-2</v>
      </c>
      <c r="S168">
        <f t="shared" si="62"/>
        <v>8.4000000000000005E-2</v>
      </c>
      <c r="T168">
        <f t="shared" si="63"/>
        <v>1.0129151291512914E-2</v>
      </c>
      <c r="U168">
        <f t="shared" si="52"/>
        <v>-0.01</v>
      </c>
      <c r="V168">
        <f t="shared" si="64"/>
        <v>2.866666666666667E-2</v>
      </c>
      <c r="W168" t="str">
        <f t="shared" si="65"/>
        <v>0-0.05</v>
      </c>
    </row>
    <row r="169" spans="1:23">
      <c r="A169" t="s">
        <v>908</v>
      </c>
      <c r="B169" t="s">
        <v>909</v>
      </c>
      <c r="C169" s="6">
        <v>2.0730000000000002E-3</v>
      </c>
      <c r="D169">
        <v>2.1999999999999999E-2</v>
      </c>
      <c r="E169" t="s">
        <v>1207</v>
      </c>
      <c r="F169">
        <v>90770</v>
      </c>
      <c r="G169" t="s">
        <v>913</v>
      </c>
      <c r="H169">
        <v>1050000000</v>
      </c>
      <c r="I169">
        <v>2190000</v>
      </c>
      <c r="J169">
        <f>Cleaned_data[[#This Row],[Volume (24h) USD]]/Cleaned_data[[#This Row],[Circulating_Supply($)]]</f>
        <v>8.6447619047619041E-5</v>
      </c>
      <c r="K169">
        <f>RANK(Cleaned_data[[#This Row],[  Market Cap]],Cleaned_data[ [  Market Cap] ],0)</f>
        <v>168</v>
      </c>
      <c r="L169" t="str">
        <f t="shared" si="55"/>
        <v>0-0.5</v>
      </c>
      <c r="M169">
        <f t="shared" si="56"/>
        <v>2.0730000000000002E-3</v>
      </c>
      <c r="N169" t="str">
        <f t="shared" si="57"/>
        <v>Hide</v>
      </c>
      <c r="O169" t="str">
        <f t="shared" si="58"/>
        <v>0-50</v>
      </c>
      <c r="P169">
        <f t="shared" si="59"/>
        <v>2.0283757338551861E-3</v>
      </c>
      <c r="Q169" t="str">
        <f t="shared" si="60"/>
        <v>Up to $10</v>
      </c>
      <c r="R169">
        <f t="shared" si="61"/>
        <v>2.0524752475247527E-3</v>
      </c>
      <c r="S169">
        <f t="shared" si="62"/>
        <v>0.154</v>
      </c>
      <c r="T169">
        <f t="shared" si="63"/>
        <v>1.7963604852686312E-3</v>
      </c>
      <c r="U169">
        <f t="shared" si="52"/>
        <v>-0.01</v>
      </c>
      <c r="V169">
        <f t="shared" si="64"/>
        <v>5.5333333333333339E-2</v>
      </c>
      <c r="W169" t="str">
        <f t="shared" si="65"/>
        <v>0-0.05</v>
      </c>
    </row>
    <row r="170" spans="1:23">
      <c r="A170" t="s">
        <v>914</v>
      </c>
      <c r="B170" t="s">
        <v>915</v>
      </c>
      <c r="C170" s="6">
        <v>4.4979999999999998E-4</v>
      </c>
      <c r="D170">
        <v>0.14630000000000001</v>
      </c>
      <c r="E170" t="s">
        <v>1208</v>
      </c>
      <c r="F170">
        <v>45</v>
      </c>
      <c r="G170" t="s">
        <v>919</v>
      </c>
      <c r="H170">
        <v>3990000000</v>
      </c>
      <c r="I170">
        <v>1800000</v>
      </c>
      <c r="J170">
        <f>Cleaned_data[[#This Row],[Volume (24h) USD]]/Cleaned_data[[#This Row],[Circulating_Supply($)]]</f>
        <v>1.1278195488721804E-8</v>
      </c>
      <c r="K170">
        <f>RANK(Cleaned_data[[#This Row],[  Market Cap]],Cleaned_data[ [  Market Cap] ],0)</f>
        <v>169</v>
      </c>
      <c r="L170" t="str">
        <f t="shared" si="55"/>
        <v>0-0.5</v>
      </c>
      <c r="M170">
        <f t="shared" si="56"/>
        <v>4.4979999999999998E-4</v>
      </c>
      <c r="N170" t="str">
        <f t="shared" si="57"/>
        <v>Hide</v>
      </c>
      <c r="O170" t="str">
        <f t="shared" si="58"/>
        <v>0-50</v>
      </c>
      <c r="P170">
        <f t="shared" si="59"/>
        <v>3.9239291633952713E-4</v>
      </c>
      <c r="Q170" t="str">
        <f t="shared" si="60"/>
        <v>Up to $10</v>
      </c>
      <c r="R170">
        <f t="shared" si="61"/>
        <v>4.4534653465346533E-4</v>
      </c>
      <c r="S170">
        <f t="shared" si="62"/>
        <v>1.0241</v>
      </c>
      <c r="T170">
        <f t="shared" si="63"/>
        <v>2.2222222222222223E-4</v>
      </c>
      <c r="U170">
        <f t="shared" si="52"/>
        <v>-0.01</v>
      </c>
      <c r="V170">
        <f t="shared" si="64"/>
        <v>0.38680000000000003</v>
      </c>
      <c r="W170" t="str">
        <f t="shared" si="65"/>
        <v>0-0.05</v>
      </c>
    </row>
    <row r="171" spans="1:23">
      <c r="A171" t="s">
        <v>920</v>
      </c>
      <c r="B171" t="s">
        <v>921</v>
      </c>
      <c r="C171" s="6">
        <v>3.558E-3</v>
      </c>
      <c r="D171">
        <v>1.8E-3</v>
      </c>
      <c r="E171" t="s">
        <v>1209</v>
      </c>
      <c r="F171">
        <v>94995</v>
      </c>
      <c r="G171" t="s">
        <v>924</v>
      </c>
      <c r="H171">
        <v>504080000</v>
      </c>
      <c r="I171">
        <v>1790000</v>
      </c>
      <c r="J171">
        <f>Cleaned_data[[#This Row],[Volume (24h) USD]]/Cleaned_data[[#This Row],[Circulating_Supply($)]]</f>
        <v>1.884522298047929E-4</v>
      </c>
      <c r="K171">
        <f>RANK(Cleaned_data[[#This Row],[  Market Cap]],Cleaned_data[ [  Market Cap] ],0)</f>
        <v>170</v>
      </c>
      <c r="L171" t="str">
        <f t="shared" si="55"/>
        <v>0-0.5</v>
      </c>
      <c r="M171">
        <f t="shared" si="56"/>
        <v>3.558E-3</v>
      </c>
      <c r="N171" t="str">
        <f t="shared" si="57"/>
        <v>Hide</v>
      </c>
      <c r="O171" t="str">
        <f t="shared" si="58"/>
        <v>0-50</v>
      </c>
      <c r="P171">
        <f t="shared" si="59"/>
        <v>3.5516071072070271E-3</v>
      </c>
      <c r="Q171" t="str">
        <f t="shared" si="60"/>
        <v>Up to $10</v>
      </c>
      <c r="R171">
        <f t="shared" si="61"/>
        <v>3.5227722772277225E-3</v>
      </c>
      <c r="S171">
        <f t="shared" si="62"/>
        <v>1.26E-2</v>
      </c>
      <c r="T171">
        <f t="shared" si="63"/>
        <v>3.5137270393047603E-3</v>
      </c>
      <c r="U171">
        <f t="shared" si="52"/>
        <v>-0.01</v>
      </c>
      <c r="V171">
        <f t="shared" si="64"/>
        <v>1.4666666666666665E-3</v>
      </c>
      <c r="W171" t="str">
        <f t="shared" si="65"/>
        <v>0-0.05</v>
      </c>
    </row>
    <row r="172" spans="1:23">
      <c r="A172" t="s">
        <v>925</v>
      </c>
      <c r="B172" t="s">
        <v>926</v>
      </c>
      <c r="C172" s="6">
        <v>1.7930000000000001E-2</v>
      </c>
      <c r="D172">
        <v>4.0000000000000002E-4</v>
      </c>
      <c r="E172" t="s">
        <v>1209</v>
      </c>
      <c r="F172">
        <v>40586</v>
      </c>
      <c r="G172" t="s">
        <v>238</v>
      </c>
      <c r="H172">
        <v>100000000</v>
      </c>
      <c r="I172">
        <v>1790000</v>
      </c>
      <c r="J172">
        <f>Cleaned_data[[#This Row],[Volume (24h) USD]]/Cleaned_data[[#This Row],[Circulating_Supply($)]]</f>
        <v>4.0586000000000002E-4</v>
      </c>
      <c r="K172">
        <f>RANK(Cleaned_data[[#This Row],[  Market Cap]],Cleaned_data[ [  Market Cap] ],0)</f>
        <v>170</v>
      </c>
      <c r="L172" t="str">
        <f t="shared" si="55"/>
        <v>0-0.5</v>
      </c>
      <c r="M172">
        <f t="shared" si="56"/>
        <v>1.7930000000000001E-2</v>
      </c>
      <c r="N172" t="str">
        <f t="shared" si="57"/>
        <v>Hide</v>
      </c>
      <c r="O172" t="str">
        <f t="shared" si="58"/>
        <v>0-50</v>
      </c>
      <c r="P172">
        <f t="shared" si="59"/>
        <v>1.792283086765294E-2</v>
      </c>
      <c r="Q172" t="str">
        <f t="shared" si="60"/>
        <v>Up to $10</v>
      </c>
      <c r="R172">
        <f t="shared" si="61"/>
        <v>1.7752475247524754E-2</v>
      </c>
      <c r="S172">
        <f t="shared" si="62"/>
        <v>2.8E-3</v>
      </c>
      <c r="T172">
        <f t="shared" si="63"/>
        <v>1.7879936178699644E-2</v>
      </c>
      <c r="U172">
        <f t="shared" si="52"/>
        <v>-0.01</v>
      </c>
      <c r="V172">
        <f t="shared" si="64"/>
        <v>2.2666666666666668E-3</v>
      </c>
      <c r="W172" t="str">
        <f t="shared" si="65"/>
        <v>0-0.05</v>
      </c>
    </row>
    <row r="173" spans="1:23">
      <c r="A173" t="s">
        <v>929</v>
      </c>
      <c r="B173" t="s">
        <v>930</v>
      </c>
      <c r="C173" s="6">
        <v>1.789E-3</v>
      </c>
      <c r="D173">
        <v>8.6E-3</v>
      </c>
      <c r="E173" t="s">
        <v>1209</v>
      </c>
      <c r="F173">
        <v>902399</v>
      </c>
      <c r="G173" t="s">
        <v>88</v>
      </c>
      <c r="H173">
        <v>1000000000</v>
      </c>
      <c r="I173">
        <v>1790000</v>
      </c>
      <c r="J173">
        <f>Cleaned_data[[#This Row],[Volume (24h) USD]]/Cleaned_data[[#This Row],[Circulating_Supply($)]]</f>
        <v>9.0239900000000002E-4</v>
      </c>
      <c r="K173">
        <f>RANK(Cleaned_data[[#This Row],[  Market Cap]],Cleaned_data[ [  Market Cap] ],0)</f>
        <v>170</v>
      </c>
      <c r="L173" t="str">
        <f t="shared" si="55"/>
        <v>0-0.5</v>
      </c>
      <c r="M173">
        <f t="shared" si="56"/>
        <v>1.789E-3</v>
      </c>
      <c r="N173" t="str">
        <f t="shared" si="57"/>
        <v>Hide</v>
      </c>
      <c r="O173" t="str">
        <f t="shared" si="58"/>
        <v>0-50</v>
      </c>
      <c r="P173">
        <f t="shared" si="59"/>
        <v>1.7737457862383502E-3</v>
      </c>
      <c r="Q173" t="str">
        <f t="shared" si="60"/>
        <v>Up to $10</v>
      </c>
      <c r="R173">
        <f t="shared" si="61"/>
        <v>1.7712871287128714E-3</v>
      </c>
      <c r="S173">
        <f t="shared" si="62"/>
        <v>6.0200000000000004E-2</v>
      </c>
      <c r="T173">
        <f t="shared" si="63"/>
        <v>1.6874174684021882E-3</v>
      </c>
      <c r="U173">
        <f t="shared" si="52"/>
        <v>-0.01</v>
      </c>
      <c r="V173">
        <f t="shared" si="64"/>
        <v>1.9600000000000003E-2</v>
      </c>
      <c r="W173" t="str">
        <f t="shared" si="65"/>
        <v>0-0.05</v>
      </c>
    </row>
    <row r="174" spans="1:23">
      <c r="A174" t="s">
        <v>933</v>
      </c>
      <c r="B174" t="s">
        <v>934</v>
      </c>
      <c r="C174" s="6">
        <v>4.1580000000000002E-3</v>
      </c>
      <c r="D174">
        <v>2.7E-2</v>
      </c>
      <c r="E174" t="s">
        <v>1209</v>
      </c>
      <c r="F174">
        <v>68754</v>
      </c>
      <c r="G174" t="s">
        <v>938</v>
      </c>
      <c r="H174">
        <v>429810000</v>
      </c>
      <c r="I174">
        <v>1790000</v>
      </c>
      <c r="J174">
        <f>Cleaned_data[[#This Row],[Volume (24h) USD]]/Cleaned_data[[#This Row],[Circulating_Supply($)]]</f>
        <v>1.5996370489285963E-4</v>
      </c>
      <c r="K174">
        <f>RANK(Cleaned_data[[#This Row],[  Market Cap]],Cleaned_data[ [  Market Cap] ],0)</f>
        <v>170</v>
      </c>
      <c r="L174" t="str">
        <f t="shared" si="55"/>
        <v>0-0.5</v>
      </c>
      <c r="M174">
        <f t="shared" si="56"/>
        <v>4.1580000000000002E-3</v>
      </c>
      <c r="N174" t="str">
        <f t="shared" si="57"/>
        <v>Show</v>
      </c>
      <c r="O174" t="str">
        <f t="shared" si="58"/>
        <v>0-50</v>
      </c>
      <c r="P174">
        <f t="shared" si="59"/>
        <v>4.0486854917234673E-3</v>
      </c>
      <c r="Q174" t="str">
        <f t="shared" si="60"/>
        <v>Up to $10</v>
      </c>
      <c r="R174">
        <f t="shared" si="61"/>
        <v>4.1168316831683167E-3</v>
      </c>
      <c r="S174">
        <f t="shared" si="62"/>
        <v>0.189</v>
      </c>
      <c r="T174">
        <f t="shared" si="63"/>
        <v>3.4970563498738436E-3</v>
      </c>
      <c r="U174">
        <f t="shared" si="52"/>
        <v>-0.01</v>
      </c>
      <c r="V174">
        <f t="shared" si="64"/>
        <v>6.8666666666666668E-2</v>
      </c>
      <c r="W174" t="str">
        <f t="shared" si="65"/>
        <v>0-0.05</v>
      </c>
    </row>
    <row r="175" spans="1:23">
      <c r="A175" t="s">
        <v>939</v>
      </c>
      <c r="B175" t="s">
        <v>940</v>
      </c>
      <c r="C175" s="6">
        <v>6.2430000000000003E-3</v>
      </c>
      <c r="D175">
        <v>6.1999999999999998E-3</v>
      </c>
      <c r="E175" t="s">
        <v>1209</v>
      </c>
      <c r="F175">
        <v>104668</v>
      </c>
      <c r="G175" t="s">
        <v>944</v>
      </c>
      <c r="H175">
        <v>286230000</v>
      </c>
      <c r="I175">
        <v>1790000</v>
      </c>
      <c r="J175">
        <f>Cleaned_data[[#This Row],[Volume (24h) USD]]/Cleaned_data[[#This Row],[Circulating_Supply($)]]</f>
        <v>3.6567795129790727E-4</v>
      </c>
      <c r="K175">
        <f>RANK(Cleaned_data[[#This Row],[  Market Cap]],Cleaned_data[ [  Market Cap] ],0)</f>
        <v>170</v>
      </c>
      <c r="L175" t="str">
        <f t="shared" si="55"/>
        <v>0-0.5</v>
      </c>
      <c r="M175">
        <f t="shared" si="56"/>
        <v>6.2430000000000003E-3</v>
      </c>
      <c r="N175" t="str">
        <f t="shared" si="57"/>
        <v>Hide</v>
      </c>
      <c r="O175" t="str">
        <f t="shared" si="58"/>
        <v>0-50</v>
      </c>
      <c r="P175">
        <f t="shared" si="59"/>
        <v>6.204531902206321E-3</v>
      </c>
      <c r="Q175" t="str">
        <f t="shared" si="60"/>
        <v>Up to $10</v>
      </c>
      <c r="R175">
        <f t="shared" si="61"/>
        <v>6.1811881188118811E-3</v>
      </c>
      <c r="S175">
        <f t="shared" si="62"/>
        <v>4.3400000000000001E-2</v>
      </c>
      <c r="T175">
        <f t="shared" si="63"/>
        <v>5.9833237492811957E-3</v>
      </c>
      <c r="U175">
        <f t="shared" si="52"/>
        <v>-0.01</v>
      </c>
      <c r="V175">
        <f t="shared" si="64"/>
        <v>1.3200000000000002E-2</v>
      </c>
      <c r="W175" t="str">
        <f t="shared" si="65"/>
        <v>0-0.05</v>
      </c>
    </row>
    <row r="176" spans="1:23">
      <c r="A176" t="s">
        <v>945</v>
      </c>
      <c r="B176" t="s">
        <v>946</v>
      </c>
      <c r="C176" s="6">
        <v>2.9459999999999998E-3</v>
      </c>
      <c r="D176">
        <v>2.0199999999999999E-2</v>
      </c>
      <c r="E176" t="s">
        <v>1209</v>
      </c>
      <c r="F176">
        <v>619631</v>
      </c>
      <c r="G176" t="s">
        <v>950</v>
      </c>
      <c r="H176">
        <v>605920000</v>
      </c>
      <c r="I176">
        <v>1790000</v>
      </c>
      <c r="J176">
        <f>Cleaned_data[[#This Row],[Volume (24h) USD]]/Cleaned_data[[#This Row],[Circulating_Supply($)]]</f>
        <v>1.022628399788751E-3</v>
      </c>
      <c r="K176">
        <f>RANK(Cleaned_data[[#This Row],[  Market Cap]],Cleaned_data[ [  Market Cap] ],0)</f>
        <v>170</v>
      </c>
      <c r="L176" t="str">
        <f t="shared" si="55"/>
        <v>0-0.5</v>
      </c>
      <c r="M176">
        <f t="shared" si="56"/>
        <v>2.9459999999999998E-3</v>
      </c>
      <c r="N176" t="str">
        <f t="shared" si="57"/>
        <v>Hide</v>
      </c>
      <c r="O176" t="str">
        <f t="shared" si="58"/>
        <v>0-50</v>
      </c>
      <c r="P176">
        <f t="shared" si="59"/>
        <v>2.8876690844932365E-3</v>
      </c>
      <c r="Q176" t="str">
        <f t="shared" si="60"/>
        <v>Up to $10</v>
      </c>
      <c r="R176">
        <f t="shared" si="61"/>
        <v>2.9168316831683166E-3</v>
      </c>
      <c r="S176">
        <f t="shared" si="62"/>
        <v>0.1414</v>
      </c>
      <c r="T176">
        <f t="shared" si="63"/>
        <v>2.5810408270544945E-3</v>
      </c>
      <c r="U176">
        <f t="shared" si="52"/>
        <v>-0.01</v>
      </c>
      <c r="V176">
        <f t="shared" si="64"/>
        <v>5.0533333333333326E-2</v>
      </c>
      <c r="W176" t="str">
        <f t="shared" si="65"/>
        <v>0-0.05</v>
      </c>
    </row>
    <row r="177" spans="1:23">
      <c r="A177" t="s">
        <v>951</v>
      </c>
      <c r="B177" t="s">
        <v>952</v>
      </c>
      <c r="C177" s="6">
        <v>5.3220000000000003E-2</v>
      </c>
      <c r="D177">
        <v>4.0000000000000002E-4</v>
      </c>
      <c r="E177" t="s">
        <v>1210</v>
      </c>
      <c r="F177">
        <v>79063</v>
      </c>
      <c r="G177" t="s">
        <v>955</v>
      </c>
      <c r="H177">
        <v>33450000.000000004</v>
      </c>
      <c r="I177">
        <v>1780000</v>
      </c>
      <c r="J177">
        <f>Cleaned_data[[#This Row],[Volume (24h) USD]]/Cleaned_data[[#This Row],[Circulating_Supply($)]]</f>
        <v>2.3636173393124064E-3</v>
      </c>
      <c r="K177">
        <f>RANK(Cleaned_data[[#This Row],[  Market Cap]],Cleaned_data[ [  Market Cap] ],0)</f>
        <v>176</v>
      </c>
      <c r="L177" t="str">
        <f t="shared" si="55"/>
        <v>0-0.5</v>
      </c>
      <c r="M177">
        <f t="shared" si="56"/>
        <v>5.3220000000000003E-2</v>
      </c>
      <c r="N177" t="str">
        <f t="shared" si="57"/>
        <v>Hide</v>
      </c>
      <c r="O177" t="str">
        <f t="shared" si="58"/>
        <v>0-50</v>
      </c>
      <c r="P177">
        <f t="shared" si="59"/>
        <v>5.3198720511795285E-2</v>
      </c>
      <c r="Q177" t="str">
        <f t="shared" si="60"/>
        <v>Up to $10</v>
      </c>
      <c r="R177">
        <f t="shared" si="61"/>
        <v>5.2693069306930698E-2</v>
      </c>
      <c r="S177">
        <f t="shared" si="62"/>
        <v>2.8E-3</v>
      </c>
      <c r="T177">
        <f t="shared" si="63"/>
        <v>5.3071400079776634E-2</v>
      </c>
      <c r="U177">
        <f t="shared" si="52"/>
        <v>-0.01</v>
      </c>
      <c r="V177">
        <f t="shared" si="64"/>
        <v>2.2666666666666668E-3</v>
      </c>
      <c r="W177" t="str">
        <f t="shared" si="65"/>
        <v>0.05-0.5</v>
      </c>
    </row>
    <row r="178" spans="1:23">
      <c r="A178" t="s">
        <v>956</v>
      </c>
      <c r="B178" t="s">
        <v>957</v>
      </c>
      <c r="C178" s="6">
        <v>8.4227999999999997E-2</v>
      </c>
      <c r="D178">
        <v>6.9999999999999999E-4</v>
      </c>
      <c r="E178" t="s">
        <v>1210</v>
      </c>
      <c r="F178">
        <v>1692677</v>
      </c>
      <c r="G178" t="s">
        <v>645</v>
      </c>
      <c r="H178">
        <v>420690000000000</v>
      </c>
      <c r="I178">
        <v>1780000</v>
      </c>
      <c r="J178">
        <f>Cleaned_data[[#This Row],[Volume (24h) USD]]/Cleaned_data[[#This Row],[Circulating_Supply($)]]</f>
        <v>4.0235731773990349E-9</v>
      </c>
      <c r="K178">
        <f>RANK(Cleaned_data[[#This Row],[  Market Cap]],Cleaned_data[ [  Market Cap] ],0)</f>
        <v>176</v>
      </c>
      <c r="L178" t="str">
        <f t="shared" si="55"/>
        <v>0-0.5</v>
      </c>
      <c r="M178">
        <f t="shared" si="56"/>
        <v>8.4227999999999997E-2</v>
      </c>
      <c r="N178" t="str">
        <f t="shared" si="57"/>
        <v>Hide</v>
      </c>
      <c r="O178" t="str">
        <f t="shared" si="58"/>
        <v>0-50</v>
      </c>
      <c r="P178">
        <f t="shared" si="59"/>
        <v>8.4169081642850002E-2</v>
      </c>
      <c r="Q178" t="str">
        <f t="shared" si="60"/>
        <v>Up to $10</v>
      </c>
      <c r="R178">
        <f t="shared" si="61"/>
        <v>8.3394059405940593E-2</v>
      </c>
      <c r="S178">
        <f t="shared" si="62"/>
        <v>4.8999999999999998E-3</v>
      </c>
      <c r="T178">
        <f t="shared" si="63"/>
        <v>8.3817295253259039E-2</v>
      </c>
      <c r="U178">
        <f t="shared" si="52"/>
        <v>-0.01</v>
      </c>
      <c r="V178">
        <f t="shared" si="64"/>
        <v>1.4666666666666671E-3</v>
      </c>
      <c r="W178" t="str">
        <f t="shared" si="65"/>
        <v>0.05-0.5</v>
      </c>
    </row>
    <row r="179" spans="1:23">
      <c r="A179" t="s">
        <v>960</v>
      </c>
      <c r="B179" t="s">
        <v>961</v>
      </c>
      <c r="C179" s="6">
        <v>6.8700000000000002E-3</v>
      </c>
      <c r="D179">
        <v>8.6E-3</v>
      </c>
      <c r="E179" t="s">
        <v>1211</v>
      </c>
      <c r="F179">
        <v>223765</v>
      </c>
      <c r="G179" t="s">
        <v>964</v>
      </c>
      <c r="H179">
        <v>258220000.00000003</v>
      </c>
      <c r="I179">
        <v>1770000</v>
      </c>
      <c r="J179">
        <f>Cleaned_data[[#This Row],[Volume (24h) USD]]/Cleaned_data[[#This Row],[Circulating_Supply($)]]</f>
        <v>8.6656726822089683E-4</v>
      </c>
      <c r="K179">
        <f>RANK(Cleaned_data[[#This Row],[  Market Cap]],Cleaned_data[ [  Market Cap] ],0)</f>
        <v>178</v>
      </c>
      <c r="L179" t="str">
        <f t="shared" si="55"/>
        <v>0-0.5</v>
      </c>
      <c r="M179">
        <f t="shared" si="56"/>
        <v>6.8700000000000002E-3</v>
      </c>
      <c r="N179" t="str">
        <f t="shared" si="57"/>
        <v>Hide</v>
      </c>
      <c r="O179" t="str">
        <f t="shared" si="58"/>
        <v>0-50</v>
      </c>
      <c r="P179">
        <f t="shared" si="59"/>
        <v>6.8114217727543135E-3</v>
      </c>
      <c r="Q179" t="str">
        <f t="shared" si="60"/>
        <v>Up to $10</v>
      </c>
      <c r="R179">
        <f t="shared" si="61"/>
        <v>6.801980198019802E-3</v>
      </c>
      <c r="S179">
        <f t="shared" si="62"/>
        <v>6.0200000000000004E-2</v>
      </c>
      <c r="T179">
        <f t="shared" si="63"/>
        <v>6.4799094510469722E-3</v>
      </c>
      <c r="U179">
        <f t="shared" si="52"/>
        <v>-0.01</v>
      </c>
      <c r="V179">
        <f t="shared" si="64"/>
        <v>1.9600000000000003E-2</v>
      </c>
      <c r="W179" t="str">
        <f t="shared" si="65"/>
        <v>0-0.05</v>
      </c>
    </row>
    <row r="180" spans="1:23">
      <c r="A180" t="s">
        <v>965</v>
      </c>
      <c r="B180" t="s">
        <v>966</v>
      </c>
      <c r="C180" s="6">
        <v>1.361E-4</v>
      </c>
      <c r="D180">
        <v>5.0000000000000001E-4</v>
      </c>
      <c r="E180" t="s">
        <v>1212</v>
      </c>
      <c r="F180">
        <v>218501</v>
      </c>
      <c r="G180" t="s">
        <v>969</v>
      </c>
      <c r="H180">
        <v>10550000000</v>
      </c>
      <c r="I180">
        <v>1440000</v>
      </c>
      <c r="J180">
        <f>Cleaned_data[[#This Row],[Volume (24h) USD]]/Cleaned_data[[#This Row],[Circulating_Supply($)]]</f>
        <v>2.0710995260663509E-5</v>
      </c>
      <c r="K180">
        <f>RANK(Cleaned_data[[#This Row],[  Market Cap]],Cleaned_data[ [  Market Cap] ],0)</f>
        <v>179</v>
      </c>
      <c r="L180" t="str">
        <f t="shared" si="55"/>
        <v>0-0.5</v>
      </c>
      <c r="M180">
        <f t="shared" si="56"/>
        <v>1.361E-4</v>
      </c>
      <c r="N180" t="str">
        <f t="shared" si="57"/>
        <v>Hide</v>
      </c>
      <c r="O180" t="str">
        <f t="shared" si="58"/>
        <v>0-50</v>
      </c>
      <c r="P180">
        <f t="shared" si="59"/>
        <v>1.3603198400799602E-4</v>
      </c>
      <c r="Q180" t="str">
        <f t="shared" si="60"/>
        <v>Up to $10</v>
      </c>
      <c r="R180">
        <f t="shared" si="61"/>
        <v>1.3475247524752476E-4</v>
      </c>
      <c r="S180">
        <f t="shared" si="62"/>
        <v>3.5000000000000001E-3</v>
      </c>
      <c r="T180">
        <f t="shared" si="63"/>
        <v>1.3562531141006476E-4</v>
      </c>
      <c r="U180">
        <f t="shared" si="52"/>
        <v>-0.01</v>
      </c>
      <c r="V180">
        <f t="shared" si="64"/>
        <v>2E-3</v>
      </c>
      <c r="W180" t="str">
        <f t="shared" si="65"/>
        <v>0-0.05</v>
      </c>
    </row>
    <row r="181" spans="1:23">
      <c r="A181" t="s">
        <v>970</v>
      </c>
      <c r="B181" t="s">
        <v>971</v>
      </c>
      <c r="C181" s="6">
        <v>3.7690000000000002E-3</v>
      </c>
      <c r="D181">
        <v>0</v>
      </c>
      <c r="E181" t="s">
        <v>1213</v>
      </c>
      <c r="F181">
        <v>68</v>
      </c>
      <c r="G181" t="s">
        <v>974</v>
      </c>
      <c r="H181">
        <v>380100000</v>
      </c>
      <c r="I181">
        <v>1430000</v>
      </c>
      <c r="J181">
        <f>Cleaned_data[[#This Row],[Volume (24h) USD]]/Cleaned_data[[#This Row],[Circulating_Supply($)]]</f>
        <v>1.7890028939752697E-7</v>
      </c>
      <c r="K181">
        <f>RANK(Cleaned_data[[#This Row],[  Market Cap]],Cleaned_data[ [  Market Cap] ],0)</f>
        <v>180</v>
      </c>
      <c r="L181" t="str">
        <f t="shared" si="55"/>
        <v>0-0.5</v>
      </c>
      <c r="M181">
        <f t="shared" si="56"/>
        <v>3.7690000000000002E-3</v>
      </c>
      <c r="N181" t="str">
        <f t="shared" si="57"/>
        <v>Hide</v>
      </c>
      <c r="O181" t="str">
        <f t="shared" si="58"/>
        <v>0-50</v>
      </c>
      <c r="P181">
        <f t="shared" si="59"/>
        <v>3.7690000000000002E-3</v>
      </c>
      <c r="Q181" t="str">
        <f t="shared" si="60"/>
        <v>Up to $10</v>
      </c>
      <c r="R181">
        <f t="shared" si="61"/>
        <v>3.7316831683168318E-3</v>
      </c>
      <c r="S181">
        <f t="shared" si="62"/>
        <v>0</v>
      </c>
      <c r="T181">
        <f t="shared" si="63"/>
        <v>3.7690000000000002E-3</v>
      </c>
      <c r="U181">
        <f t="shared" si="52"/>
        <v>-0.01</v>
      </c>
      <c r="V181">
        <f t="shared" si="64"/>
        <v>3.3333333333333335E-3</v>
      </c>
      <c r="W181" t="str">
        <f t="shared" si="65"/>
        <v>0-0.05</v>
      </c>
    </row>
    <row r="182" spans="1:23">
      <c r="A182" t="s">
        <v>975</v>
      </c>
      <c r="B182" t="s">
        <v>976</v>
      </c>
      <c r="C182" s="6">
        <v>3.8949999999999998E-4</v>
      </c>
      <c r="D182">
        <v>2.3E-3</v>
      </c>
      <c r="E182" t="s">
        <v>1214</v>
      </c>
      <c r="F182">
        <v>63221</v>
      </c>
      <c r="G182" t="s">
        <v>980</v>
      </c>
      <c r="H182">
        <v>3650000000</v>
      </c>
      <c r="I182">
        <v>1420000</v>
      </c>
      <c r="J182">
        <f>Cleaned_data[[#This Row],[Volume (24h) USD]]/Cleaned_data[[#This Row],[Circulating_Supply($)]]</f>
        <v>1.7320821917808218E-5</v>
      </c>
      <c r="K182">
        <f>RANK(Cleaned_data[[#This Row],[  Market Cap]],Cleaned_data[ [  Market Cap] ],0)</f>
        <v>181</v>
      </c>
      <c r="L182" t="str">
        <f t="shared" si="55"/>
        <v>0-0.5</v>
      </c>
      <c r="M182">
        <f t="shared" si="56"/>
        <v>3.8949999999999998E-4</v>
      </c>
      <c r="N182" t="str">
        <f t="shared" si="57"/>
        <v>Hide</v>
      </c>
      <c r="O182" t="str">
        <f t="shared" si="58"/>
        <v>0-50</v>
      </c>
      <c r="P182">
        <f t="shared" si="59"/>
        <v>3.8860620572682831E-4</v>
      </c>
      <c r="Q182" t="str">
        <f t="shared" si="60"/>
        <v>Up to $10</v>
      </c>
      <c r="R182">
        <f t="shared" si="61"/>
        <v>3.8564356435643563E-4</v>
      </c>
      <c r="S182">
        <f t="shared" si="62"/>
        <v>1.61E-2</v>
      </c>
      <c r="T182">
        <f t="shared" si="63"/>
        <v>3.8332841255781907E-4</v>
      </c>
      <c r="U182">
        <f t="shared" si="52"/>
        <v>-0.01</v>
      </c>
      <c r="V182">
        <f t="shared" si="64"/>
        <v>2.8E-3</v>
      </c>
      <c r="W182" t="str">
        <f t="shared" si="65"/>
        <v>0-0.05</v>
      </c>
    </row>
    <row r="183" spans="1:23">
      <c r="A183" t="s">
        <v>981</v>
      </c>
      <c r="B183" t="s">
        <v>982</v>
      </c>
      <c r="C183" s="6">
        <v>5.4579999999999997E-2</v>
      </c>
      <c r="D183">
        <v>1E-4</v>
      </c>
      <c r="E183" t="s">
        <v>1214</v>
      </c>
      <c r="F183">
        <v>1</v>
      </c>
      <c r="G183" t="s">
        <v>985</v>
      </c>
      <c r="H183">
        <v>26090000</v>
      </c>
      <c r="I183">
        <v>1420000</v>
      </c>
      <c r="J183">
        <f>Cleaned_data[[#This Row],[Volume (24h) USD]]/Cleaned_data[[#This Row],[Circulating_Supply($)]]</f>
        <v>3.8328861632809504E-8</v>
      </c>
      <c r="K183">
        <f>RANK(Cleaned_data[[#This Row],[  Market Cap]],Cleaned_data[ [  Market Cap] ],0)</f>
        <v>181</v>
      </c>
      <c r="L183" t="str">
        <f t="shared" si="55"/>
        <v>0-0.5</v>
      </c>
      <c r="M183">
        <f t="shared" si="56"/>
        <v>5.4579999999999997E-2</v>
      </c>
      <c r="N183" t="str">
        <f t="shared" si="57"/>
        <v>Show</v>
      </c>
      <c r="O183" t="str">
        <f t="shared" si="58"/>
        <v>0-50</v>
      </c>
      <c r="P183">
        <f t="shared" si="59"/>
        <v>5.4574542545745425E-2</v>
      </c>
      <c r="Q183" t="str">
        <f t="shared" si="60"/>
        <v>Up to $10</v>
      </c>
      <c r="R183">
        <f t="shared" si="61"/>
        <v>5.4039603960396039E-2</v>
      </c>
      <c r="S183">
        <f t="shared" si="62"/>
        <v>6.9999999999999999E-4</v>
      </c>
      <c r="T183">
        <f t="shared" si="63"/>
        <v>5.4541820725492157E-2</v>
      </c>
      <c r="U183">
        <f t="shared" si="52"/>
        <v>-0.01</v>
      </c>
      <c r="V183">
        <f t="shared" si="64"/>
        <v>3.0666666666666672E-3</v>
      </c>
      <c r="W183" t="str">
        <f t="shared" si="65"/>
        <v>0.05-0.5</v>
      </c>
    </row>
    <row r="184" spans="1:23">
      <c r="A184" t="s">
        <v>986</v>
      </c>
      <c r="B184" t="s">
        <v>987</v>
      </c>
      <c r="C184" s="6">
        <v>7.4960000000000001E-3</v>
      </c>
      <c r="D184">
        <v>3.2000000000000002E-3</v>
      </c>
      <c r="E184" t="s">
        <v>1214</v>
      </c>
      <c r="F184">
        <v>60151</v>
      </c>
      <c r="G184" t="s">
        <v>228</v>
      </c>
      <c r="H184">
        <v>190000000</v>
      </c>
      <c r="I184">
        <v>1420000</v>
      </c>
      <c r="J184">
        <f>Cleaned_data[[#This Row],[Volume (24h) USD]]/Cleaned_data[[#This Row],[Circulating_Supply($)]]</f>
        <v>3.165842105263158E-4</v>
      </c>
      <c r="K184">
        <f>RANK(Cleaned_data[[#This Row],[  Market Cap]],Cleaned_data[ [  Market Cap] ],0)</f>
        <v>181</v>
      </c>
      <c r="L184" t="str">
        <f t="shared" si="55"/>
        <v>0-0.5</v>
      </c>
      <c r="M184">
        <f t="shared" si="56"/>
        <v>7.4960000000000001E-3</v>
      </c>
      <c r="N184" t="str">
        <f t="shared" si="57"/>
        <v>Hide</v>
      </c>
      <c r="O184" t="str">
        <f t="shared" si="58"/>
        <v>0-50</v>
      </c>
      <c r="P184">
        <f t="shared" si="59"/>
        <v>7.4720893141945769E-3</v>
      </c>
      <c r="Q184" t="str">
        <f t="shared" si="60"/>
        <v>Up to $10</v>
      </c>
      <c r="R184">
        <f t="shared" si="61"/>
        <v>7.4217821782178216E-3</v>
      </c>
      <c r="S184">
        <f t="shared" si="62"/>
        <v>2.24E-2</v>
      </c>
      <c r="T184">
        <f t="shared" si="63"/>
        <v>7.3317683881064166E-3</v>
      </c>
      <c r="U184">
        <f t="shared" si="52"/>
        <v>-0.01</v>
      </c>
      <c r="V184">
        <f t="shared" si="64"/>
        <v>5.1999999999999998E-3</v>
      </c>
      <c r="W184" t="str">
        <f t="shared" si="65"/>
        <v>0-0.05</v>
      </c>
    </row>
    <row r="185" spans="1:23">
      <c r="A185" t="s">
        <v>990</v>
      </c>
      <c r="B185" t="s">
        <v>991</v>
      </c>
      <c r="C185" s="6">
        <v>1.4239999999999999E-3</v>
      </c>
      <c r="D185">
        <v>6.4000000000000003E-3</v>
      </c>
      <c r="E185" t="s">
        <v>1214</v>
      </c>
      <c r="F185">
        <v>218025</v>
      </c>
      <c r="G185" t="s">
        <v>995</v>
      </c>
      <c r="H185">
        <v>999920000</v>
      </c>
      <c r="I185">
        <v>1420000</v>
      </c>
      <c r="J185">
        <f>Cleaned_data[[#This Row],[Volume (24h) USD]]/Cleaned_data[[#This Row],[Circulating_Supply($)]]</f>
        <v>2.1804244339547165E-4</v>
      </c>
      <c r="K185">
        <f>RANK(Cleaned_data[[#This Row],[  Market Cap]],Cleaned_data[ [  Market Cap] ],0)</f>
        <v>181</v>
      </c>
      <c r="L185" t="str">
        <f t="shared" si="55"/>
        <v>0-0.5</v>
      </c>
      <c r="M185">
        <f t="shared" si="56"/>
        <v>1.4239999999999999E-3</v>
      </c>
      <c r="N185" t="str">
        <f t="shared" si="57"/>
        <v>Hide</v>
      </c>
      <c r="O185" t="str">
        <f t="shared" si="58"/>
        <v>0-50</v>
      </c>
      <c r="P185">
        <f t="shared" si="59"/>
        <v>1.4149443561208266E-3</v>
      </c>
      <c r="Q185" t="str">
        <f t="shared" si="60"/>
        <v>Up to $10</v>
      </c>
      <c r="R185">
        <f t="shared" si="61"/>
        <v>1.4099009900990099E-3</v>
      </c>
      <c r="S185">
        <f t="shared" si="62"/>
        <v>4.48E-2</v>
      </c>
      <c r="T185">
        <f t="shared" si="63"/>
        <v>1.3629402756508422E-3</v>
      </c>
      <c r="U185">
        <f t="shared" si="52"/>
        <v>-0.01</v>
      </c>
      <c r="V185">
        <f t="shared" si="64"/>
        <v>1.3733333333333334E-2</v>
      </c>
      <c r="W185" t="str">
        <f t="shared" si="65"/>
        <v>0-0.05</v>
      </c>
    </row>
    <row r="186" spans="1:23">
      <c r="A186" t="s">
        <v>996</v>
      </c>
      <c r="B186" t="s">
        <v>997</v>
      </c>
      <c r="C186" s="6">
        <v>4.1879999999999999E-3</v>
      </c>
      <c r="D186">
        <v>1.1599999999999999E-2</v>
      </c>
      <c r="E186" t="s">
        <v>1214</v>
      </c>
      <c r="F186">
        <v>79944</v>
      </c>
      <c r="G186" t="s">
        <v>1001</v>
      </c>
      <c r="H186">
        <v>339990000</v>
      </c>
      <c r="I186">
        <v>1420000</v>
      </c>
      <c r="J186">
        <f>Cleaned_data[[#This Row],[Volume (24h) USD]]/Cleaned_data[[#This Row],[Circulating_Supply($)]]</f>
        <v>2.3513632753904528E-4</v>
      </c>
      <c r="K186">
        <f>RANK(Cleaned_data[[#This Row],[  Market Cap]],Cleaned_data[ [  Market Cap] ],0)</f>
        <v>181</v>
      </c>
      <c r="L186" t="str">
        <f t="shared" si="55"/>
        <v>0-0.5</v>
      </c>
      <c r="M186">
        <f t="shared" si="56"/>
        <v>4.1879999999999999E-3</v>
      </c>
      <c r="N186" t="str">
        <f t="shared" si="57"/>
        <v>Hide</v>
      </c>
      <c r="O186" t="str">
        <f t="shared" si="58"/>
        <v>0-50</v>
      </c>
      <c r="P186">
        <f t="shared" si="59"/>
        <v>4.1399762752075912E-3</v>
      </c>
      <c r="Q186" t="str">
        <f t="shared" si="60"/>
        <v>Up to $10</v>
      </c>
      <c r="R186">
        <f t="shared" si="61"/>
        <v>4.1465346534653464E-3</v>
      </c>
      <c r="S186">
        <f t="shared" si="62"/>
        <v>8.1199999999999994E-2</v>
      </c>
      <c r="T186">
        <f t="shared" si="63"/>
        <v>3.8734739178690344E-3</v>
      </c>
      <c r="U186">
        <f t="shared" si="52"/>
        <v>-0.01</v>
      </c>
      <c r="V186">
        <f t="shared" si="64"/>
        <v>2.76E-2</v>
      </c>
      <c r="W186" t="str">
        <f t="shared" si="65"/>
        <v>0-0.05</v>
      </c>
    </row>
    <row r="187" spans="1:23">
      <c r="A187" t="s">
        <v>1002</v>
      </c>
      <c r="B187" t="s">
        <v>1003</v>
      </c>
      <c r="C187" s="6">
        <v>8.4999999999999995E-4</v>
      </c>
      <c r="D187">
        <v>2.8999999999999998E-3</v>
      </c>
      <c r="E187" t="s">
        <v>1214</v>
      </c>
      <c r="F187">
        <v>6151</v>
      </c>
      <c r="G187" t="s">
        <v>1006</v>
      </c>
      <c r="H187">
        <v>1670000000</v>
      </c>
      <c r="I187">
        <v>1420000</v>
      </c>
      <c r="J187">
        <f>Cleaned_data[[#This Row],[Volume (24h) USD]]/Cleaned_data[[#This Row],[Circulating_Supply($)]]</f>
        <v>3.6832335329341319E-6</v>
      </c>
      <c r="K187">
        <f>RANK(Cleaned_data[[#This Row],[  Market Cap]],Cleaned_data[ [  Market Cap] ],0)</f>
        <v>181</v>
      </c>
      <c r="L187" t="str">
        <f t="shared" si="55"/>
        <v>0-0.5</v>
      </c>
      <c r="M187">
        <f t="shared" si="56"/>
        <v>8.4999999999999995E-4</v>
      </c>
      <c r="N187" t="str">
        <f t="shared" si="57"/>
        <v>Show</v>
      </c>
      <c r="O187" t="str">
        <f t="shared" si="58"/>
        <v>0-50</v>
      </c>
      <c r="P187">
        <f t="shared" si="59"/>
        <v>8.4754212782929507E-4</v>
      </c>
      <c r="Q187" t="str">
        <f t="shared" si="60"/>
        <v>Up to $10</v>
      </c>
      <c r="R187">
        <f t="shared" si="61"/>
        <v>8.4158415841584157E-4</v>
      </c>
      <c r="S187">
        <f t="shared" si="62"/>
        <v>2.0299999999999999E-2</v>
      </c>
      <c r="T187">
        <f t="shared" si="63"/>
        <v>8.3308830736058019E-4</v>
      </c>
      <c r="U187">
        <f t="shared" si="52"/>
        <v>-0.01</v>
      </c>
      <c r="V187">
        <f t="shared" si="64"/>
        <v>4.3999999999999994E-3</v>
      </c>
      <c r="W187" t="str">
        <f t="shared" si="65"/>
        <v>0-0.05</v>
      </c>
    </row>
    <row r="188" spans="1:23">
      <c r="A188" t="s">
        <v>1007</v>
      </c>
      <c r="B188" t="s">
        <v>1007</v>
      </c>
      <c r="C188" s="6">
        <v>1.1069999999999999E-3</v>
      </c>
      <c r="D188">
        <v>4.1999999999999997E-3</v>
      </c>
      <c r="E188" t="s">
        <v>1214</v>
      </c>
      <c r="F188">
        <v>321945</v>
      </c>
      <c r="G188" t="s">
        <v>1010</v>
      </c>
      <c r="H188">
        <v>1280000000</v>
      </c>
      <c r="I188">
        <v>1420000</v>
      </c>
      <c r="J188">
        <f>Cleaned_data[[#This Row],[Volume (24h) USD]]/Cleaned_data[[#This Row],[Circulating_Supply($)]]</f>
        <v>2.5151953125000001E-4</v>
      </c>
      <c r="K188">
        <f>RANK(Cleaned_data[[#This Row],[  Market Cap]],Cleaned_data[ [  Market Cap] ],0)</f>
        <v>181</v>
      </c>
      <c r="L188" t="str">
        <f t="shared" si="55"/>
        <v>0-0.5</v>
      </c>
      <c r="M188">
        <f t="shared" si="56"/>
        <v>1.1069999999999999E-3</v>
      </c>
      <c r="N188" t="str">
        <f t="shared" si="57"/>
        <v>Hide</v>
      </c>
      <c r="O188" t="str">
        <f t="shared" si="58"/>
        <v>0-50</v>
      </c>
      <c r="P188">
        <f t="shared" si="59"/>
        <v>1.102370045807608E-3</v>
      </c>
      <c r="Q188" t="str">
        <f t="shared" si="60"/>
        <v>Up to $10</v>
      </c>
      <c r="R188">
        <f t="shared" si="61"/>
        <v>1.0960396039603958E-3</v>
      </c>
      <c r="S188">
        <f t="shared" si="62"/>
        <v>2.9399999999999999E-2</v>
      </c>
      <c r="T188">
        <f t="shared" si="63"/>
        <v>1.0753837186710704E-3</v>
      </c>
      <c r="U188">
        <f t="shared" si="52"/>
        <v>-0.01</v>
      </c>
      <c r="V188">
        <f t="shared" si="64"/>
        <v>7.8666666666666659E-3</v>
      </c>
      <c r="W188" t="str">
        <f t="shared" si="65"/>
        <v>0-0.05</v>
      </c>
    </row>
    <row r="189" spans="1:23">
      <c r="A189" t="s">
        <v>1011</v>
      </c>
      <c r="B189" t="s">
        <v>1012</v>
      </c>
      <c r="C189" s="6">
        <v>6.6379999999999998E-3</v>
      </c>
      <c r="D189">
        <v>2.5999999999999999E-3</v>
      </c>
      <c r="E189" t="s">
        <v>1214</v>
      </c>
      <c r="F189">
        <v>6106</v>
      </c>
      <c r="G189" t="s">
        <v>1016</v>
      </c>
      <c r="H189">
        <v>213360000</v>
      </c>
      <c r="I189">
        <v>1420000</v>
      </c>
      <c r="J189">
        <f>Cleaned_data[[#This Row],[Volume (24h) USD]]/Cleaned_data[[#This Row],[Circulating_Supply($)]]</f>
        <v>2.8618297712785901E-5</v>
      </c>
      <c r="K189">
        <f>RANK(Cleaned_data[[#This Row],[  Market Cap]],Cleaned_data[ [  Market Cap] ],0)</f>
        <v>181</v>
      </c>
      <c r="L189" t="str">
        <f t="shared" si="55"/>
        <v>0-0.5</v>
      </c>
      <c r="M189">
        <f t="shared" si="56"/>
        <v>6.6379999999999998E-3</v>
      </c>
      <c r="N189" t="str">
        <f t="shared" si="57"/>
        <v>Hide</v>
      </c>
      <c r="O189" t="str">
        <f t="shared" si="58"/>
        <v>0-50</v>
      </c>
      <c r="P189">
        <f t="shared" si="59"/>
        <v>6.6207859565130664E-3</v>
      </c>
      <c r="Q189" t="str">
        <f t="shared" si="60"/>
        <v>Up to $10</v>
      </c>
      <c r="R189">
        <f t="shared" si="61"/>
        <v>6.5722772277227717E-3</v>
      </c>
      <c r="S189">
        <f t="shared" si="62"/>
        <v>1.8200000000000001E-2</v>
      </c>
      <c r="T189">
        <f t="shared" si="63"/>
        <v>6.5193478687880571E-3</v>
      </c>
      <c r="U189">
        <f t="shared" si="52"/>
        <v>-0.01</v>
      </c>
      <c r="V189">
        <f t="shared" si="64"/>
        <v>3.6000000000000003E-3</v>
      </c>
      <c r="W189" t="str">
        <f t="shared" si="65"/>
        <v>0-0.05</v>
      </c>
    </row>
    <row r="190" spans="1:23">
      <c r="A190" t="s">
        <v>1017</v>
      </c>
      <c r="B190" t="s">
        <v>1018</v>
      </c>
      <c r="C190" s="6">
        <v>103.16</v>
      </c>
      <c r="D190">
        <v>2.5000000000000001E-3</v>
      </c>
      <c r="E190" t="s">
        <v>1215</v>
      </c>
      <c r="F190">
        <v>697513</v>
      </c>
      <c r="G190" t="s">
        <v>1021</v>
      </c>
      <c r="H190">
        <v>11510</v>
      </c>
      <c r="I190">
        <v>1190000</v>
      </c>
      <c r="J190">
        <f>Cleaned_data[[#This Row],[Volume (24h) USD]]/Cleaned_data[[#This Row],[Circulating_Supply($)]]</f>
        <v>60.600608166811469</v>
      </c>
      <c r="K190">
        <f>RANK(Cleaned_data[[#This Row],[  Market Cap]],Cleaned_data[ [  Market Cap] ],0)</f>
        <v>189</v>
      </c>
      <c r="L190" t="str">
        <f t="shared" si="55"/>
        <v>100-10000</v>
      </c>
      <c r="M190">
        <f t="shared" si="56"/>
        <v>103.16</v>
      </c>
      <c r="N190" t="str">
        <f t="shared" si="57"/>
        <v>Hide</v>
      </c>
      <c r="O190" t="str">
        <f t="shared" si="58"/>
        <v>Above 50</v>
      </c>
      <c r="P190">
        <f t="shared" si="59"/>
        <v>102.90274314214464</v>
      </c>
      <c r="Q190" t="str">
        <f t="shared" si="60"/>
        <v>&gt;= $10</v>
      </c>
      <c r="R190">
        <f t="shared" si="61"/>
        <v>102.13861386138613</v>
      </c>
      <c r="S190">
        <f t="shared" si="62"/>
        <v>1.7500000000000002E-2</v>
      </c>
      <c r="T190">
        <f t="shared" si="63"/>
        <v>101.38574938574938</v>
      </c>
      <c r="U190">
        <f t="shared" si="52"/>
        <v>-0.01</v>
      </c>
      <c r="V190">
        <f t="shared" si="64"/>
        <v>3.333333333333334E-3</v>
      </c>
      <c r="W190" t="str">
        <f t="shared" si="65"/>
        <v>&gt;$50</v>
      </c>
    </row>
    <row r="191" spans="1:23">
      <c r="A191" t="s">
        <v>1022</v>
      </c>
      <c r="B191" t="s">
        <v>1023</v>
      </c>
      <c r="C191" s="6">
        <v>1.18</v>
      </c>
      <c r="D191">
        <v>5.0999999999999997E-2</v>
      </c>
      <c r="E191" t="s">
        <v>1215</v>
      </c>
      <c r="F191">
        <v>2719</v>
      </c>
      <c r="G191" t="s">
        <v>1026</v>
      </c>
      <c r="H191">
        <v>1000000</v>
      </c>
      <c r="I191">
        <v>1190000</v>
      </c>
      <c r="J191">
        <f>Cleaned_data[[#This Row],[Volume (24h) USD]]/Cleaned_data[[#This Row],[Circulating_Supply($)]]</f>
        <v>2.7190000000000001E-3</v>
      </c>
      <c r="K191">
        <f>RANK(Cleaned_data[[#This Row],[  Market Cap]],Cleaned_data[ [  Market Cap] ],0)</f>
        <v>189</v>
      </c>
      <c r="L191" t="str">
        <f t="shared" si="55"/>
        <v>1-2</v>
      </c>
      <c r="M191">
        <f t="shared" si="56"/>
        <v>1.18</v>
      </c>
      <c r="N191" t="str">
        <f t="shared" si="57"/>
        <v>Show</v>
      </c>
      <c r="O191" t="str">
        <f t="shared" si="58"/>
        <v>0-50</v>
      </c>
      <c r="P191">
        <f t="shared" si="59"/>
        <v>1.1227402473834442</v>
      </c>
      <c r="Q191" t="str">
        <f t="shared" si="60"/>
        <v>Up to $10</v>
      </c>
      <c r="R191">
        <f t="shared" si="61"/>
        <v>1.1683168316831682</v>
      </c>
      <c r="S191">
        <f t="shared" si="62"/>
        <v>0.35699999999999998</v>
      </c>
      <c r="T191">
        <f t="shared" si="63"/>
        <v>0.86956521739130432</v>
      </c>
      <c r="U191">
        <f t="shared" si="52"/>
        <v>-0.01</v>
      </c>
      <c r="V191">
        <f t="shared" si="64"/>
        <v>0.13266666666666665</v>
      </c>
      <c r="W191" t="str">
        <f t="shared" si="65"/>
        <v>0.5-5</v>
      </c>
    </row>
    <row r="192" spans="1:23">
      <c r="A192" t="s">
        <v>1027</v>
      </c>
      <c r="B192" t="s">
        <v>1028</v>
      </c>
      <c r="C192" s="6">
        <v>3.2660000000000002E-4</v>
      </c>
      <c r="D192">
        <v>1.4500000000000001E-2</v>
      </c>
      <c r="E192" t="s">
        <v>1216</v>
      </c>
      <c r="F192">
        <v>107033</v>
      </c>
      <c r="G192" t="s">
        <v>1032</v>
      </c>
      <c r="H192">
        <v>3610000000</v>
      </c>
      <c r="I192">
        <v>1180000</v>
      </c>
      <c r="J192">
        <f>Cleaned_data[[#This Row],[Volume (24h) USD]]/Cleaned_data[[#This Row],[Circulating_Supply($)]]</f>
        <v>2.9649030470914129E-5</v>
      </c>
      <c r="K192">
        <f>RANK(Cleaned_data[[#This Row],[  Market Cap]],Cleaned_data[ [  Market Cap] ],0)</f>
        <v>191</v>
      </c>
      <c r="L192" t="str">
        <f t="shared" si="55"/>
        <v>0-0.5</v>
      </c>
      <c r="M192">
        <f t="shared" si="56"/>
        <v>3.2660000000000002E-4</v>
      </c>
      <c r="N192" t="str">
        <f t="shared" si="57"/>
        <v>Hide</v>
      </c>
      <c r="O192" t="str">
        <f t="shared" si="58"/>
        <v>0-50</v>
      </c>
      <c r="P192">
        <f t="shared" si="59"/>
        <v>3.219319862000986E-4</v>
      </c>
      <c r="Q192" t="str">
        <f t="shared" si="60"/>
        <v>Up to $10</v>
      </c>
      <c r="R192">
        <f t="shared" si="61"/>
        <v>3.2336633663366339E-4</v>
      </c>
      <c r="S192">
        <f t="shared" si="62"/>
        <v>0.10150000000000001</v>
      </c>
      <c r="T192">
        <f t="shared" si="63"/>
        <v>2.9650476622787114E-4</v>
      </c>
      <c r="U192">
        <f t="shared" si="52"/>
        <v>-0.01</v>
      </c>
      <c r="V192">
        <f t="shared" si="64"/>
        <v>3.5333333333333335E-2</v>
      </c>
      <c r="W192" t="str">
        <f t="shared" si="65"/>
        <v>0-0.05</v>
      </c>
    </row>
    <row r="193" spans="1:23">
      <c r="A193" t="s">
        <v>1033</v>
      </c>
      <c r="B193" t="s">
        <v>1033</v>
      </c>
      <c r="C193" s="6">
        <v>0.12570000000000001</v>
      </c>
      <c r="D193">
        <v>5.0000000000000001E-4</v>
      </c>
      <c r="E193" t="s">
        <v>1216</v>
      </c>
      <c r="F193">
        <v>76</v>
      </c>
      <c r="G193" t="s">
        <v>1036</v>
      </c>
      <c r="H193">
        <v>9370000</v>
      </c>
      <c r="I193">
        <v>1180000</v>
      </c>
      <c r="J193">
        <f>Cleaned_data[[#This Row],[Volume (24h) USD]]/Cleaned_data[[#This Row],[Circulating_Supply($)]]</f>
        <v>8.1109925293489854E-6</v>
      </c>
      <c r="K193">
        <f>RANK(Cleaned_data[[#This Row],[  Market Cap]],Cleaned_data[ [  Market Cap] ],0)</f>
        <v>191</v>
      </c>
      <c r="L193" t="str">
        <f t="shared" si="55"/>
        <v>0-0.5</v>
      </c>
      <c r="M193">
        <f t="shared" si="56"/>
        <v>0.12570000000000001</v>
      </c>
      <c r="N193" t="str">
        <f t="shared" si="57"/>
        <v>Show</v>
      </c>
      <c r="O193" t="str">
        <f t="shared" si="58"/>
        <v>0-50</v>
      </c>
      <c r="P193">
        <f t="shared" si="59"/>
        <v>0.12563718140929536</v>
      </c>
      <c r="Q193" t="str">
        <f t="shared" si="60"/>
        <v>Up to $10</v>
      </c>
      <c r="R193">
        <f t="shared" si="61"/>
        <v>0.12445544554455445</v>
      </c>
      <c r="S193">
        <f t="shared" si="62"/>
        <v>3.5000000000000001E-3</v>
      </c>
      <c r="T193">
        <f t="shared" si="63"/>
        <v>0.12526158445440957</v>
      </c>
      <c r="U193">
        <f t="shared" si="52"/>
        <v>-0.01</v>
      </c>
      <c r="V193">
        <f t="shared" si="64"/>
        <v>2E-3</v>
      </c>
      <c r="W193" t="str">
        <f t="shared" si="65"/>
        <v>0.05-0.5</v>
      </c>
    </row>
    <row r="194" spans="1:23">
      <c r="A194" t="s">
        <v>1037</v>
      </c>
      <c r="B194" t="s">
        <v>1038</v>
      </c>
      <c r="C194" s="6">
        <v>937.04</v>
      </c>
      <c r="D194">
        <v>6.9999999999999999E-4</v>
      </c>
      <c r="E194" t="s">
        <v>1216</v>
      </c>
      <c r="F194">
        <v>1174159</v>
      </c>
      <c r="G194" t="s">
        <v>1041</v>
      </c>
      <c r="H194">
        <v>1250</v>
      </c>
      <c r="I194">
        <v>1180000</v>
      </c>
      <c r="J194">
        <f>Cleaned_data[[#This Row],[Volume (24h) USD]]/Cleaned_data[[#This Row],[Circulating_Supply($)]]</f>
        <v>939.32719999999995</v>
      </c>
      <c r="K194">
        <f>RANK(Cleaned_data[[#This Row],[  Market Cap]],Cleaned_data[ [  Market Cap] ],0)</f>
        <v>191</v>
      </c>
      <c r="L194" t="str">
        <f t="shared" si="55"/>
        <v>100-10000</v>
      </c>
      <c r="M194">
        <f t="shared" ref="M194:M199" si="66">VALUE(C194)</f>
        <v>937.04</v>
      </c>
      <c r="N194" t="str">
        <f t="shared" ref="N194:N199" si="67">IF(OR(LEFT(A194,1)="A",LEFT(A194,1)="E",LEFT(A194,1)="I",LEFT(A194,1)="O",LEFT(A194,1)="U",LEFT(A194,1)="B",LEFT(A194,1)="C",LEFT(A194,1)="D"),"Show","Hide")</f>
        <v>Hide</v>
      </c>
      <c r="O194" t="str">
        <f t="shared" ref="O194:O199" si="68">IF(C194&lt;=50,"0-50","Above 50")</f>
        <v>Above 50</v>
      </c>
      <c r="P194">
        <f t="shared" ref="P194:P199" si="69">C194/(1+D194)</f>
        <v>936.38453082842011</v>
      </c>
      <c r="Q194" t="str">
        <f t="shared" ref="Q194:Q199" si="70">IF(M194&lt;10,"Up to $10","&gt;= $10")</f>
        <v>&gt;= $10</v>
      </c>
      <c r="R194">
        <f t="shared" ref="R194:R199" si="71">M194/(1-U194)</f>
        <v>927.7623762376237</v>
      </c>
      <c r="S194">
        <f t="shared" ref="S194:S199" si="72">D194*7</f>
        <v>4.8999999999999998E-3</v>
      </c>
      <c r="T194">
        <f t="shared" ref="T194:T199" si="73" xml:space="preserve"> M194/(1+S194)</f>
        <v>932.47089262613201</v>
      </c>
      <c r="U194">
        <f t="shared" ref="U194:U199" si="74">-0.01</f>
        <v>-0.01</v>
      </c>
      <c r="V194">
        <f t="shared" ref="V194:V199" si="75">ABS(AVERAGE(D194,U194,S194))</f>
        <v>1.4666666666666671E-3</v>
      </c>
      <c r="W194" t="str">
        <f t="shared" ref="W194:W199" si="76">IF(M194&lt;=0.05,"0-0.05",
IF(M194&lt;=0.5,"0.05-0.5",
IF(M194&lt;=5,"0.5-5",
IF(M194&lt;=50,"5-50",
"&gt;$50"))))</f>
        <v>&gt;$50</v>
      </c>
    </row>
    <row r="195" spans="1:23">
      <c r="A195" t="s">
        <v>1042</v>
      </c>
      <c r="B195" t="s">
        <v>1043</v>
      </c>
      <c r="C195" s="6">
        <v>85.37</v>
      </c>
      <c r="D195">
        <v>2.3E-3</v>
      </c>
      <c r="E195" t="s">
        <v>1216</v>
      </c>
      <c r="F195">
        <v>1358207</v>
      </c>
      <c r="G195" t="s">
        <v>1046</v>
      </c>
      <c r="H195">
        <v>13790</v>
      </c>
      <c r="I195">
        <v>1180000</v>
      </c>
      <c r="J195">
        <f>Cleaned_data[[#This Row],[Volume (24h) USD]]/Cleaned_data[[#This Row],[Circulating_Supply($)]]</f>
        <v>98.492168237853519</v>
      </c>
      <c r="K195">
        <f>RANK(Cleaned_data[[#This Row],[  Market Cap]],Cleaned_data[ [  Market Cap] ],0)</f>
        <v>191</v>
      </c>
      <c r="L195" t="str">
        <f t="shared" ref="L195:L199" si="77">IF(VALUE(C195)&lt;=0.5,"0-0.5",
IF(VALUE(C195)&lt;=1,"0.5-1",
IF(VALUE(C195)&lt;=2,"1-2",
IF(VALUE(C195)&lt;=10,"2-10",
IF(VALUE(C195)&lt;=100,"10-100",
IF(VALUE(C195)&lt;=10000,"100-10000",
"10000+"))))))</f>
        <v>10-100</v>
      </c>
      <c r="M195">
        <f t="shared" si="66"/>
        <v>85.37</v>
      </c>
      <c r="N195" t="str">
        <f t="shared" si="67"/>
        <v>Show</v>
      </c>
      <c r="O195" t="str">
        <f t="shared" si="68"/>
        <v>Above 50</v>
      </c>
      <c r="P195">
        <f t="shared" si="69"/>
        <v>85.174099570986741</v>
      </c>
      <c r="Q195" t="str">
        <f t="shared" si="70"/>
        <v>&gt;= $10</v>
      </c>
      <c r="R195">
        <f t="shared" si="71"/>
        <v>84.524752475247524</v>
      </c>
      <c r="S195">
        <f t="shared" si="72"/>
        <v>1.61E-2</v>
      </c>
      <c r="T195">
        <f t="shared" si="73"/>
        <v>84.017321129810057</v>
      </c>
      <c r="U195">
        <f t="shared" si="74"/>
        <v>-0.01</v>
      </c>
      <c r="V195">
        <f t="shared" si="75"/>
        <v>2.8E-3</v>
      </c>
      <c r="W195" t="str">
        <f t="shared" si="76"/>
        <v>&gt;$50</v>
      </c>
    </row>
    <row r="196" spans="1:23">
      <c r="A196" t="s">
        <v>1047</v>
      </c>
      <c r="B196" t="s">
        <v>1048</v>
      </c>
      <c r="C196" s="6">
        <v>2.6580000000000001E-4</v>
      </c>
      <c r="D196">
        <v>3.7000000000000002E-3</v>
      </c>
      <c r="E196" t="s">
        <v>1216</v>
      </c>
      <c r="F196">
        <v>278212</v>
      </c>
      <c r="G196" t="s">
        <v>1051</v>
      </c>
      <c r="H196">
        <v>4420000000</v>
      </c>
      <c r="I196">
        <v>1180000</v>
      </c>
      <c r="J196">
        <f>Cleaned_data[[#This Row],[Volume (24h) USD]]/Cleaned_data[[#This Row],[Circulating_Supply($)]]</f>
        <v>6.2943891402714931E-5</v>
      </c>
      <c r="K196">
        <f>RANK(Cleaned_data[[#This Row],[  Market Cap]],Cleaned_data[ [  Market Cap] ],0)</f>
        <v>191</v>
      </c>
      <c r="L196" t="str">
        <f t="shared" si="77"/>
        <v>0-0.5</v>
      </c>
      <c r="M196">
        <f t="shared" si="66"/>
        <v>2.6580000000000001E-4</v>
      </c>
      <c r="N196" t="str">
        <f t="shared" si="67"/>
        <v>Show</v>
      </c>
      <c r="O196" t="str">
        <f t="shared" si="68"/>
        <v>0-50</v>
      </c>
      <c r="P196">
        <f t="shared" si="69"/>
        <v>2.6482016538806417E-4</v>
      </c>
      <c r="Q196" t="str">
        <f t="shared" si="70"/>
        <v>Up to $10</v>
      </c>
      <c r="R196">
        <f t="shared" si="71"/>
        <v>2.6316831683168316E-4</v>
      </c>
      <c r="S196">
        <f t="shared" si="72"/>
        <v>2.5899999999999999E-2</v>
      </c>
      <c r="T196">
        <f t="shared" si="73"/>
        <v>2.5908957988108E-4</v>
      </c>
      <c r="U196">
        <f t="shared" si="74"/>
        <v>-0.01</v>
      </c>
      <c r="V196">
        <f t="shared" si="75"/>
        <v>6.5333333333333328E-3</v>
      </c>
      <c r="W196" t="str">
        <f t="shared" si="76"/>
        <v>0-0.05</v>
      </c>
    </row>
    <row r="197" spans="1:23">
      <c r="A197" t="s">
        <v>1052</v>
      </c>
      <c r="B197" t="s">
        <v>1053</v>
      </c>
      <c r="C197" s="6">
        <v>4.7080000000000004E-3</v>
      </c>
      <c r="D197">
        <v>8.3000000000000001E-3</v>
      </c>
      <c r="E197" t="s">
        <v>1216</v>
      </c>
      <c r="F197">
        <v>80181</v>
      </c>
      <c r="G197" t="s">
        <v>1057</v>
      </c>
      <c r="H197">
        <v>249890000</v>
      </c>
      <c r="I197">
        <v>1180000</v>
      </c>
      <c r="J197">
        <f>Cleaned_data[[#This Row],[Volume (24h) USD]]/Cleaned_data[[#This Row],[Circulating_Supply($)]]</f>
        <v>3.2086518067949896E-4</v>
      </c>
      <c r="K197">
        <f>RANK(Cleaned_data[[#This Row],[  Market Cap]],Cleaned_data[ [  Market Cap] ],0)</f>
        <v>191</v>
      </c>
      <c r="L197" t="str">
        <f t="shared" si="77"/>
        <v>0-0.5</v>
      </c>
      <c r="M197">
        <f t="shared" si="66"/>
        <v>4.7080000000000004E-3</v>
      </c>
      <c r="N197" t="str">
        <f t="shared" si="67"/>
        <v>Hide</v>
      </c>
      <c r="O197" t="str">
        <f t="shared" si="68"/>
        <v>0-50</v>
      </c>
      <c r="P197">
        <f t="shared" si="69"/>
        <v>4.6692452643062581E-3</v>
      </c>
      <c r="Q197" t="str">
        <f t="shared" si="70"/>
        <v>Up to $10</v>
      </c>
      <c r="R197">
        <f t="shared" si="71"/>
        <v>4.6613861386138617E-3</v>
      </c>
      <c r="S197">
        <f t="shared" si="72"/>
        <v>5.8099999999999999E-2</v>
      </c>
      <c r="T197">
        <f t="shared" si="73"/>
        <v>4.4494849258104154E-3</v>
      </c>
      <c r="U197">
        <f t="shared" si="74"/>
        <v>-0.01</v>
      </c>
      <c r="V197">
        <f t="shared" si="75"/>
        <v>1.8800000000000001E-2</v>
      </c>
      <c r="W197" t="str">
        <f t="shared" si="76"/>
        <v>0-0.05</v>
      </c>
    </row>
    <row r="198" spans="1:23">
      <c r="A198" t="s">
        <v>1058</v>
      </c>
      <c r="B198" t="s">
        <v>1059</v>
      </c>
      <c r="C198" s="6">
        <v>1.6000000000000001E-3</v>
      </c>
      <c r="D198">
        <v>6.1999999999999998E-3</v>
      </c>
      <c r="E198" t="s">
        <v>1217</v>
      </c>
      <c r="F198">
        <v>63262</v>
      </c>
      <c r="G198" t="s">
        <v>1062</v>
      </c>
      <c r="H198">
        <v>733640000</v>
      </c>
      <c r="I198">
        <v>1170000</v>
      </c>
      <c r="J198">
        <f>Cleaned_data[[#This Row],[Volume (24h) USD]]/Cleaned_data[[#This Row],[Circulating_Supply($)]]</f>
        <v>8.6230303691183684E-5</v>
      </c>
      <c r="K198">
        <f>RANK(Cleaned_data[[#This Row],[  Market Cap]],Cleaned_data[ [  Market Cap] ],0)</f>
        <v>197</v>
      </c>
      <c r="L198" t="str">
        <f t="shared" si="77"/>
        <v>0-0.5</v>
      </c>
      <c r="M198">
        <f t="shared" si="66"/>
        <v>1.6000000000000001E-3</v>
      </c>
      <c r="N198" t="str">
        <f t="shared" si="67"/>
        <v>Hide</v>
      </c>
      <c r="O198" t="str">
        <f t="shared" si="68"/>
        <v>0-50</v>
      </c>
      <c r="P198">
        <f t="shared" si="69"/>
        <v>1.5901411250248462E-3</v>
      </c>
      <c r="Q198" t="str">
        <f t="shared" si="70"/>
        <v>Up to $10</v>
      </c>
      <c r="R198">
        <f t="shared" si="71"/>
        <v>1.5841584158415843E-3</v>
      </c>
      <c r="S198">
        <f t="shared" si="72"/>
        <v>4.3400000000000001E-2</v>
      </c>
      <c r="T198">
        <f t="shared" si="73"/>
        <v>1.5334483419589802E-3</v>
      </c>
      <c r="U198">
        <f t="shared" si="74"/>
        <v>-0.01</v>
      </c>
      <c r="V198">
        <f t="shared" si="75"/>
        <v>1.3200000000000002E-2</v>
      </c>
      <c r="W198" t="str">
        <f t="shared" si="76"/>
        <v>0-0.05</v>
      </c>
    </row>
    <row r="199" spans="1:23">
      <c r="A199" t="s">
        <v>1063</v>
      </c>
      <c r="B199" t="s">
        <v>1064</v>
      </c>
      <c r="C199" s="6">
        <v>1.846E-3</v>
      </c>
      <c r="D199">
        <v>2.9999999999999997E-4</v>
      </c>
      <c r="E199" t="s">
        <v>1217</v>
      </c>
      <c r="F199">
        <v>752739</v>
      </c>
      <c r="G199" t="s">
        <v>1067</v>
      </c>
      <c r="H199">
        <v>635710000</v>
      </c>
      <c r="I199">
        <v>1170000</v>
      </c>
      <c r="J199">
        <f>Cleaned_data[[#This Row],[Volume (24h) USD]]/Cleaned_data[[#This Row],[Circulating_Supply($)]]</f>
        <v>1.1840918028660867E-3</v>
      </c>
      <c r="K199">
        <f>RANK(Cleaned_data[[#This Row],[  Market Cap]],Cleaned_data[ [  Market Cap] ],0)</f>
        <v>197</v>
      </c>
      <c r="L199" t="str">
        <f t="shared" si="77"/>
        <v>0-0.5</v>
      </c>
      <c r="M199">
        <f t="shared" si="66"/>
        <v>1.846E-3</v>
      </c>
      <c r="N199" t="str">
        <f t="shared" si="67"/>
        <v>Show</v>
      </c>
      <c r="O199" t="str">
        <f t="shared" si="68"/>
        <v>0-50</v>
      </c>
      <c r="P199">
        <f t="shared" si="69"/>
        <v>1.8454463660901731E-3</v>
      </c>
      <c r="Q199" t="str">
        <f t="shared" si="70"/>
        <v>Up to $10</v>
      </c>
      <c r="R199">
        <f t="shared" si="71"/>
        <v>1.8277227722772278E-3</v>
      </c>
      <c r="S199">
        <f t="shared" si="72"/>
        <v>2.0999999999999999E-3</v>
      </c>
      <c r="T199">
        <f t="shared" si="73"/>
        <v>1.84213152380002E-3</v>
      </c>
      <c r="U199">
        <f t="shared" si="74"/>
        <v>-0.01</v>
      </c>
      <c r="V199">
        <f t="shared" si="75"/>
        <v>2.5333333333333336E-3</v>
      </c>
      <c r="W199" t="str">
        <f t="shared" si="76"/>
        <v>0-0.05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7597F-E0E2-4D34-A464-0478F5950736}">
  <sheetPr codeName="Sheet2"/>
  <dimension ref="A2:O80"/>
  <sheetViews>
    <sheetView topLeftCell="B38" zoomScale="66" zoomScaleNormal="72" workbookViewId="0">
      <selection activeCell="I53" sqref="I53"/>
    </sheetView>
  </sheetViews>
  <sheetFormatPr defaultRowHeight="14.4"/>
  <cols>
    <col min="1" max="1" width="30.21875" bestFit="1" customWidth="1"/>
    <col min="2" max="2" width="5.109375" bestFit="1" customWidth="1"/>
    <col min="6" max="6" width="30.21875" bestFit="1" customWidth="1"/>
    <col min="7" max="7" width="16.77734375" bestFit="1" customWidth="1"/>
    <col min="8" max="8" width="17.21875" bestFit="1" customWidth="1"/>
    <col min="9" max="9" width="16.77734375" bestFit="1" customWidth="1"/>
    <col min="10" max="10" width="23.5546875" bestFit="1" customWidth="1"/>
    <col min="13" max="13" width="30.21875" bestFit="1" customWidth="1"/>
    <col min="14" max="14" width="22.88671875" bestFit="1" customWidth="1"/>
    <col min="15" max="15" width="11.21875" bestFit="1" customWidth="1"/>
  </cols>
  <sheetData>
    <row r="2" spans="1:15">
      <c r="A2" s="4" t="s">
        <v>0</v>
      </c>
      <c r="B2" t="s">
        <v>1225</v>
      </c>
      <c r="M2" s="4" t="s">
        <v>1227</v>
      </c>
      <c r="N2" t="s">
        <v>1228</v>
      </c>
      <c r="O2" t="s">
        <v>1229</v>
      </c>
    </row>
    <row r="3" spans="1:15">
      <c r="A3" s="5" t="s">
        <v>31</v>
      </c>
      <c r="B3" s="29">
        <v>1.42</v>
      </c>
      <c r="M3" s="5" t="s">
        <v>584</v>
      </c>
      <c r="N3" s="29">
        <v>2.0079235884567126</v>
      </c>
      <c r="O3" s="29">
        <v>1.32</v>
      </c>
    </row>
    <row r="4" spans="1:15">
      <c r="A4" s="5" t="s">
        <v>584</v>
      </c>
      <c r="B4" s="29">
        <v>1.32</v>
      </c>
      <c r="M4" s="5" t="s">
        <v>136</v>
      </c>
      <c r="N4" s="29">
        <v>3.862051282051282E-5</v>
      </c>
      <c r="O4" s="29">
        <v>1.1299999999999999</v>
      </c>
    </row>
    <row r="5" spans="1:15">
      <c r="A5" s="5" t="s">
        <v>1022</v>
      </c>
      <c r="B5" s="29">
        <v>1.18</v>
      </c>
      <c r="M5" s="5" t="s">
        <v>439</v>
      </c>
      <c r="N5" s="29">
        <v>2.6461737565445027</v>
      </c>
      <c r="O5" s="29">
        <v>1.18</v>
      </c>
    </row>
    <row r="6" spans="1:15">
      <c r="A6" s="5" t="s">
        <v>439</v>
      </c>
      <c r="B6" s="29">
        <v>1.18</v>
      </c>
      <c r="M6" s="5" t="s">
        <v>1022</v>
      </c>
      <c r="N6" s="29">
        <v>2.7190000000000001E-3</v>
      </c>
      <c r="O6" s="29">
        <v>1.18</v>
      </c>
    </row>
    <row r="7" spans="1:15">
      <c r="A7" s="5" t="s">
        <v>136</v>
      </c>
      <c r="B7" s="29">
        <v>1.1299999999999999</v>
      </c>
      <c r="M7" s="5" t="s">
        <v>31</v>
      </c>
      <c r="N7" s="29">
        <v>1.8069214727302153E-2</v>
      </c>
      <c r="O7" s="29">
        <v>1.42</v>
      </c>
    </row>
    <row r="8" spans="1:15">
      <c r="A8" s="5" t="s">
        <v>1222</v>
      </c>
      <c r="B8" s="29">
        <v>6.2299999999999995</v>
      </c>
      <c r="M8" s="5" t="s">
        <v>1222</v>
      </c>
      <c r="N8" s="29">
        <v>4.6749241802413382</v>
      </c>
      <c r="O8" s="29">
        <v>6.2299999999999995</v>
      </c>
    </row>
    <row r="17" spans="1:2">
      <c r="A17" s="5"/>
    </row>
    <row r="18" spans="1:2">
      <c r="A18" s="4" t="s">
        <v>0</v>
      </c>
      <c r="B18" t="s">
        <v>1226</v>
      </c>
    </row>
    <row r="19" spans="1:2">
      <c r="A19" s="5" t="s">
        <v>584</v>
      </c>
      <c r="B19" s="29">
        <v>3.3E-3</v>
      </c>
    </row>
    <row r="20" spans="1:2">
      <c r="A20" s="5" t="s">
        <v>136</v>
      </c>
      <c r="B20" s="29">
        <v>1E-4</v>
      </c>
    </row>
    <row r="21" spans="1:2">
      <c r="A21" s="5" t="s">
        <v>439</v>
      </c>
      <c r="B21" s="29">
        <v>1.6500000000000001E-2</v>
      </c>
    </row>
    <row r="22" spans="1:2">
      <c r="A22" s="5" t="s">
        <v>1022</v>
      </c>
      <c r="B22" s="29">
        <v>5.0999999999999997E-2</v>
      </c>
    </row>
    <row r="23" spans="1:2">
      <c r="A23" s="5" t="s">
        <v>31</v>
      </c>
      <c r="B23" s="29">
        <v>1.5E-3</v>
      </c>
    </row>
    <row r="24" spans="1:2">
      <c r="A24" s="5" t="s">
        <v>1222</v>
      </c>
      <c r="B24" s="29">
        <v>7.2399999999999992E-2</v>
      </c>
    </row>
    <row r="34" spans="1:9">
      <c r="A34" s="4" t="s">
        <v>0</v>
      </c>
      <c r="B34" t="s">
        <v>1230</v>
      </c>
    </row>
    <row r="35" spans="1:9">
      <c r="A35" s="5" t="s">
        <v>31</v>
      </c>
      <c r="B35" s="29">
        <v>88220000000</v>
      </c>
      <c r="E35" s="5"/>
      <c r="F35" t="s">
        <v>1232</v>
      </c>
      <c r="H35">
        <f>(GETPIVOTDATA("  Market Cap",$A$34))</f>
        <v>89579940000</v>
      </c>
    </row>
    <row r="36" spans="1:9">
      <c r="A36" s="5" t="s">
        <v>136</v>
      </c>
      <c r="B36" s="29">
        <v>1330000000</v>
      </c>
      <c r="E36" s="5"/>
      <c r="F36" t="str">
        <f>A35</f>
        <v>XRP</v>
      </c>
      <c r="G36">
        <f>B35</f>
        <v>88220000000</v>
      </c>
    </row>
    <row r="37" spans="1:9">
      <c r="A37" s="5" t="s">
        <v>439</v>
      </c>
      <c r="B37" s="29">
        <v>18140000</v>
      </c>
      <c r="E37" s="5"/>
      <c r="F37" t="str">
        <f t="shared" ref="F37:F40" si="0">A36</f>
        <v>Ondo US Dollar Yield</v>
      </c>
      <c r="G37">
        <f t="shared" ref="G37:G40" si="1">B36</f>
        <v>1330000000</v>
      </c>
    </row>
    <row r="38" spans="1:9">
      <c r="A38" s="5" t="s">
        <v>584</v>
      </c>
      <c r="B38" s="29">
        <v>10610000</v>
      </c>
      <c r="E38" s="5"/>
      <c r="F38" t="str">
        <f t="shared" si="0"/>
        <v>Paris Saint-Germain Fan Token</v>
      </c>
      <c r="G38">
        <f t="shared" si="1"/>
        <v>18140000</v>
      </c>
    </row>
    <row r="39" spans="1:9">
      <c r="A39" s="5" t="s">
        <v>1022</v>
      </c>
      <c r="B39" s="29">
        <v>1190000</v>
      </c>
      <c r="E39" s="5"/>
      <c r="F39" t="str">
        <f t="shared" si="0"/>
        <v>Galatasaray Fan Token</v>
      </c>
      <c r="G39">
        <f t="shared" si="1"/>
        <v>10610000</v>
      </c>
    </row>
    <row r="40" spans="1:9">
      <c r="A40" s="5" t="s">
        <v>1222</v>
      </c>
      <c r="B40" s="29">
        <v>89579940000</v>
      </c>
      <c r="F40" t="str">
        <f t="shared" si="0"/>
        <v>UniBot</v>
      </c>
      <c r="G40">
        <f t="shared" si="1"/>
        <v>1190000</v>
      </c>
    </row>
    <row r="41" spans="1:9">
      <c r="F41" t="s">
        <v>1231</v>
      </c>
      <c r="G41">
        <f>H35-SUM(G36:G40)</f>
        <v>0</v>
      </c>
    </row>
    <row r="48" spans="1:9">
      <c r="F48" t="s">
        <v>1233</v>
      </c>
      <c r="I48" t="s">
        <v>1230</v>
      </c>
    </row>
    <row r="49" spans="6:9">
      <c r="F49" t="s">
        <v>1234</v>
      </c>
      <c r="I49" s="36">
        <v>89579940000</v>
      </c>
    </row>
    <row r="50" spans="6:9">
      <c r="F50" t="s">
        <v>1235</v>
      </c>
      <c r="I50" t="s">
        <v>1237</v>
      </c>
    </row>
    <row r="51" spans="6:9">
      <c r="I51" s="29">
        <v>6.2299999999999995</v>
      </c>
    </row>
    <row r="52" spans="6:9">
      <c r="F52" t="s">
        <v>1236</v>
      </c>
      <c r="I52" t="s">
        <v>1240</v>
      </c>
    </row>
    <row r="53" spans="6:9">
      <c r="I53" s="36">
        <v>62984250000</v>
      </c>
    </row>
    <row r="54" spans="6:9">
      <c r="F54" t="s">
        <v>1238</v>
      </c>
      <c r="I54" t="str">
        <f>A3</f>
        <v>XRP</v>
      </c>
    </row>
    <row r="56" spans="6:9">
      <c r="F56" t="s">
        <v>1239</v>
      </c>
      <c r="I56">
        <f>B3</f>
        <v>1.42</v>
      </c>
    </row>
    <row r="64" spans="6:9">
      <c r="F64" s="4" t="s">
        <v>0</v>
      </c>
      <c r="G64" t="s">
        <v>1237</v>
      </c>
    </row>
    <row r="65" spans="6:10">
      <c r="F65" s="5" t="s">
        <v>584</v>
      </c>
      <c r="G65" s="29">
        <v>1.32</v>
      </c>
    </row>
    <row r="66" spans="6:10">
      <c r="F66" s="5" t="s">
        <v>136</v>
      </c>
      <c r="G66" s="29">
        <v>1.1299999999999999</v>
      </c>
    </row>
    <row r="67" spans="6:10">
      <c r="F67" s="5" t="s">
        <v>439</v>
      </c>
      <c r="G67" s="29">
        <v>1.18</v>
      </c>
      <c r="I67" s="4" t="s">
        <v>1242</v>
      </c>
      <c r="J67" t="s">
        <v>1244</v>
      </c>
    </row>
    <row r="68" spans="6:10">
      <c r="F68" s="5" t="s">
        <v>1022</v>
      </c>
      <c r="G68" s="29">
        <v>1.18</v>
      </c>
    </row>
    <row r="69" spans="6:10">
      <c r="F69" s="5" t="s">
        <v>31</v>
      </c>
      <c r="G69" s="29">
        <v>1.42</v>
      </c>
      <c r="I69" s="4" t="s">
        <v>1227</v>
      </c>
      <c r="J69" t="s">
        <v>1243</v>
      </c>
    </row>
    <row r="70" spans="6:10">
      <c r="F70" s="5" t="s">
        <v>1222</v>
      </c>
      <c r="G70" s="29">
        <v>6.2299999999999995</v>
      </c>
      <c r="I70" s="5" t="s">
        <v>13</v>
      </c>
      <c r="J70" s="29">
        <v>16628011956</v>
      </c>
    </row>
    <row r="71" spans="6:10">
      <c r="I71" s="5" t="s">
        <v>36</v>
      </c>
      <c r="J71" s="29">
        <v>778535503</v>
      </c>
    </row>
    <row r="72" spans="6:10">
      <c r="I72" s="5" t="s">
        <v>106</v>
      </c>
      <c r="J72" s="29">
        <v>43376749</v>
      </c>
    </row>
    <row r="73" spans="6:10">
      <c r="I73" s="5" t="s">
        <v>62</v>
      </c>
      <c r="J73" s="29">
        <v>41931037</v>
      </c>
    </row>
    <row r="74" spans="6:10">
      <c r="I74" s="5" t="s">
        <v>79</v>
      </c>
      <c r="J74" s="29">
        <v>38651475</v>
      </c>
    </row>
    <row r="75" spans="6:10">
      <c r="I75" s="5" t="s">
        <v>56</v>
      </c>
      <c r="J75" s="29">
        <v>631560189</v>
      </c>
    </row>
    <row r="76" spans="6:10">
      <c r="I76" s="5" t="s">
        <v>89</v>
      </c>
      <c r="J76" s="29">
        <v>25479355</v>
      </c>
    </row>
    <row r="77" spans="6:10">
      <c r="I77" s="5" t="s">
        <v>19</v>
      </c>
      <c r="J77" s="29">
        <v>10716404174</v>
      </c>
    </row>
    <row r="78" spans="6:10">
      <c r="I78" s="5" t="s">
        <v>224</v>
      </c>
      <c r="J78" s="29">
        <v>743386018</v>
      </c>
    </row>
    <row r="79" spans="6:10">
      <c r="I79" s="5" t="s">
        <v>41</v>
      </c>
      <c r="J79" s="29">
        <v>5322893046</v>
      </c>
    </row>
    <row r="80" spans="6:10">
      <c r="I80" s="5" t="s">
        <v>1222</v>
      </c>
      <c r="J80" s="29">
        <v>34970229502</v>
      </c>
    </row>
  </sheetData>
  <phoneticPr fontId="2" type="noConversion"/>
  <conditionalFormatting pivot="1" sqref="G65:G69">
    <cfRule type="dataBar" priority="2">
      <dataBar>
        <cfvo type="min"/>
        <cfvo type="max"/>
        <color rgb="FF63C384"/>
      </dataBar>
      <extLst>
        <ext xmlns:x14="http://schemas.microsoft.com/office/spreadsheetml/2009/9/main" uri="{B025F937-C7B1-47D3-B67F-A62EFF666E3E}">
          <x14:id>{D0B1EDDA-E972-445F-BE45-BD89AB384AC5}</x14:id>
        </ext>
      </extLst>
    </cfRule>
  </conditionalFormatting>
  <conditionalFormatting sqref="F64:G64 F65:F74">
    <cfRule type="dataBar" priority="1">
      <dataBar>
        <cfvo type="min"/>
        <cfvo type="max"/>
        <color rgb="FF63C384"/>
      </dataBar>
      <extLst>
        <ext xmlns:x14="http://schemas.microsoft.com/office/spreadsheetml/2009/9/main" uri="{B025F937-C7B1-47D3-B67F-A62EFF666E3E}">
          <x14:id>{361568BD-546D-4F79-8E5E-BFF5F5C6C0F9}</x14:id>
        </ext>
      </extLst>
    </cfRule>
  </conditionalFormatting>
  <pageMargins left="0.7" right="0.7" top="0.75" bottom="0.75" header="0.3" footer="0.3"/>
  <pageSetup orientation="portrait" r:id="rId10"/>
  <headerFooter>
    <oddHeader>&amp;Cz</oddHeader>
  </headerFooter>
  <drawing r:id="rId11"/>
  <extLst>
    <ext xmlns:x14="http://schemas.microsoft.com/office/spreadsheetml/2009/9/main" uri="{78C0D931-6437-407d-A8EE-F0AAD7539E65}">
      <x14:conditionalFormattings>
        <x14:conditionalFormatting xmlns:xm="http://schemas.microsoft.com/office/excel/2006/main" pivot="1">
          <x14:cfRule type="dataBar" id="{D0B1EDDA-E972-445F-BE45-BD89AB384AC5}">
            <x14:dataBar minLength="0" maxLength="100" gradient="0">
              <x14:cfvo type="autoMin"/>
              <x14:cfvo type="autoMax"/>
              <x14:negativeFillColor rgb="FFFF0000"/>
              <x14:axisColor rgb="FF000000"/>
            </x14:dataBar>
          </x14:cfRule>
          <xm:sqref>G65:G69</xm:sqref>
        </x14:conditionalFormatting>
        <x14:conditionalFormatting xmlns:xm="http://schemas.microsoft.com/office/excel/2006/main">
          <x14:cfRule type="dataBar" id="{361568BD-546D-4F79-8E5E-BFF5F5C6C0F9}">
            <x14:dataBar minLength="0" maxLength="100" gradient="0">
              <x14:cfvo type="autoMin"/>
              <x14:cfvo type="autoMax"/>
              <x14:negativeFillColor rgb="FFFF0000"/>
              <x14:axisColor rgb="FF000000"/>
            </x14:dataBar>
          </x14:cfRule>
          <xm:sqref>F64:G64 F65:F74</xm:sqref>
        </x14:conditionalFormatting>
      </x14:conditionalFormattings>
    </ex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G201"/>
  <sheetViews>
    <sheetView workbookViewId="0">
      <pane ySplit="1" topLeftCell="A2" activePane="bottomLeft" state="frozen"/>
      <selection pane="bottomLeft" activeCell="H1" sqref="H1:H1048576"/>
    </sheetView>
  </sheetViews>
  <sheetFormatPr defaultRowHeight="14.4"/>
  <cols>
    <col min="1" max="1" width="10.77734375" bestFit="1" customWidth="1"/>
    <col min="2" max="2" width="7.5546875" bestFit="1" customWidth="1"/>
    <col min="3" max="3" width="11.21875" bestFit="1" customWidth="1"/>
    <col min="4" max="4" width="14.109375" bestFit="1" customWidth="1"/>
    <col min="5" max="5" width="21.109375" style="3" bestFit="1" customWidth="1"/>
    <col min="6" max="6" width="17.5546875" bestFit="1" customWidth="1"/>
    <col min="7" max="7" width="17.44140625" bestFit="1" customWidth="1"/>
  </cols>
  <sheetData>
    <row r="1" spans="1:7">
      <c r="A1" s="1" t="s">
        <v>0</v>
      </c>
      <c r="B1" s="1" t="s">
        <v>1</v>
      </c>
      <c r="C1" s="1" t="s">
        <v>2</v>
      </c>
      <c r="D1" s="1" t="s">
        <v>3</v>
      </c>
      <c r="E1" s="2" t="s">
        <v>4</v>
      </c>
      <c r="F1" s="1" t="s">
        <v>5</v>
      </c>
      <c r="G1" s="1" t="s">
        <v>6</v>
      </c>
    </row>
    <row r="2" spans="1:7">
      <c r="A2" t="s">
        <v>7</v>
      </c>
      <c r="B2" t="s">
        <v>8</v>
      </c>
      <c r="C2" t="s">
        <v>9</v>
      </c>
      <c r="D2" t="s">
        <v>10</v>
      </c>
      <c r="E2" s="3">
        <v>16770000</v>
      </c>
      <c r="F2" t="s">
        <v>11</v>
      </c>
      <c r="G2" t="s">
        <v>12</v>
      </c>
    </row>
    <row r="3" spans="1:7">
      <c r="A3" t="s">
        <v>13</v>
      </c>
      <c r="B3" t="s">
        <v>14</v>
      </c>
      <c r="C3" t="s">
        <v>15</v>
      </c>
      <c r="D3" t="s">
        <v>16</v>
      </c>
      <c r="E3" s="3">
        <v>1620000000000</v>
      </c>
      <c r="F3" t="s">
        <v>17</v>
      </c>
      <c r="G3" t="s">
        <v>18</v>
      </c>
    </row>
    <row r="4" spans="1:7">
      <c r="A4" t="s">
        <v>19</v>
      </c>
      <c r="B4" t="s">
        <v>20</v>
      </c>
      <c r="C4" t="s">
        <v>21</v>
      </c>
      <c r="D4" t="s">
        <v>22</v>
      </c>
      <c r="E4" s="3">
        <v>280930000000</v>
      </c>
      <c r="F4" t="s">
        <v>23</v>
      </c>
      <c r="G4" t="s">
        <v>24</v>
      </c>
    </row>
    <row r="5" spans="1:7">
      <c r="A5" t="s">
        <v>25</v>
      </c>
      <c r="B5" t="s">
        <v>26</v>
      </c>
      <c r="C5" t="s">
        <v>27</v>
      </c>
      <c r="D5" t="s">
        <v>28</v>
      </c>
      <c r="E5" s="3">
        <v>189650000000</v>
      </c>
      <c r="F5" t="s">
        <v>29</v>
      </c>
      <c r="G5" t="s">
        <v>30</v>
      </c>
    </row>
    <row r="6" spans="1:7">
      <c r="A6" t="s">
        <v>31</v>
      </c>
      <c r="B6" t="s">
        <v>31</v>
      </c>
      <c r="C6" t="s">
        <v>32</v>
      </c>
      <c r="D6" t="s">
        <v>33</v>
      </c>
      <c r="E6" s="3">
        <v>88220000000</v>
      </c>
      <c r="F6" t="s">
        <v>34</v>
      </c>
      <c r="G6" t="s">
        <v>35</v>
      </c>
    </row>
    <row r="7" spans="1:7">
      <c r="A7" t="s">
        <v>36</v>
      </c>
      <c r="B7" t="s">
        <v>36</v>
      </c>
      <c r="C7" t="s">
        <v>37</v>
      </c>
      <c r="D7" t="s">
        <v>38</v>
      </c>
      <c r="E7" s="3">
        <v>87800000000</v>
      </c>
      <c r="F7" t="s">
        <v>39</v>
      </c>
      <c r="G7" t="s">
        <v>40</v>
      </c>
    </row>
    <row r="8" spans="1:7">
      <c r="A8" t="s">
        <v>41</v>
      </c>
      <c r="B8" t="s">
        <v>41</v>
      </c>
      <c r="C8" t="s">
        <v>27</v>
      </c>
      <c r="D8" t="s">
        <v>42</v>
      </c>
      <c r="E8" s="3">
        <v>77880000000</v>
      </c>
      <c r="F8" t="s">
        <v>43</v>
      </c>
      <c r="G8" t="s">
        <v>44</v>
      </c>
    </row>
    <row r="9" spans="1:7">
      <c r="A9" t="s">
        <v>45</v>
      </c>
      <c r="B9" t="s">
        <v>46</v>
      </c>
      <c r="C9" t="s">
        <v>47</v>
      </c>
      <c r="D9" t="s">
        <v>48</v>
      </c>
      <c r="E9" s="3">
        <v>54470000000</v>
      </c>
      <c r="F9" t="s">
        <v>49</v>
      </c>
      <c r="G9" t="s">
        <v>50</v>
      </c>
    </row>
    <row r="10" spans="1:7">
      <c r="A10" t="s">
        <v>51</v>
      </c>
      <c r="B10" t="s">
        <v>52</v>
      </c>
      <c r="C10" t="s">
        <v>53</v>
      </c>
      <c r="D10" t="s">
        <v>42</v>
      </c>
      <c r="E10" s="3">
        <v>33100000000</v>
      </c>
      <c r="F10" t="s">
        <v>54</v>
      </c>
      <c r="G10" t="s">
        <v>55</v>
      </c>
    </row>
    <row r="11" spans="1:7">
      <c r="A11" t="s">
        <v>56</v>
      </c>
      <c r="B11" t="s">
        <v>57</v>
      </c>
      <c r="C11" t="s">
        <v>58</v>
      </c>
      <c r="D11" t="s">
        <v>59</v>
      </c>
      <c r="E11" s="3">
        <v>16739999999.999998</v>
      </c>
      <c r="F11" t="s">
        <v>60</v>
      </c>
      <c r="G11" t="s">
        <v>61</v>
      </c>
    </row>
    <row r="12" spans="1:7">
      <c r="A12" t="s">
        <v>62</v>
      </c>
      <c r="B12" t="s">
        <v>63</v>
      </c>
      <c r="C12" t="s">
        <v>64</v>
      </c>
      <c r="D12" t="s">
        <v>65</v>
      </c>
      <c r="E12" s="3">
        <v>399650000</v>
      </c>
      <c r="F12" t="s">
        <v>66</v>
      </c>
      <c r="G12" t="s">
        <v>67</v>
      </c>
    </row>
    <row r="13" spans="1:7">
      <c r="A13" t="s">
        <v>68</v>
      </c>
      <c r="B13" t="s">
        <v>69</v>
      </c>
      <c r="C13" t="s">
        <v>70</v>
      </c>
      <c r="D13" t="s">
        <v>42</v>
      </c>
      <c r="E13" s="3">
        <v>399460000</v>
      </c>
      <c r="F13" t="s">
        <v>71</v>
      </c>
      <c r="G13" t="s">
        <v>72</v>
      </c>
    </row>
    <row r="14" spans="1:7">
      <c r="A14" t="s">
        <v>73</v>
      </c>
      <c r="B14" t="s">
        <v>74</v>
      </c>
      <c r="C14" t="s">
        <v>75</v>
      </c>
      <c r="D14" t="s">
        <v>76</v>
      </c>
      <c r="E14" s="3">
        <v>390900000</v>
      </c>
      <c r="F14" t="s">
        <v>77</v>
      </c>
      <c r="G14" t="s">
        <v>78</v>
      </c>
    </row>
    <row r="15" spans="1:7">
      <c r="A15" t="s">
        <v>79</v>
      </c>
      <c r="B15" t="s">
        <v>80</v>
      </c>
      <c r="C15" t="s">
        <v>81</v>
      </c>
      <c r="D15" t="s">
        <v>28</v>
      </c>
      <c r="E15" s="3">
        <v>383100000</v>
      </c>
      <c r="F15" t="s">
        <v>82</v>
      </c>
      <c r="G15" t="s">
        <v>83</v>
      </c>
    </row>
    <row r="16" spans="1:7">
      <c r="A16" t="s">
        <v>84</v>
      </c>
      <c r="B16" t="s">
        <v>84</v>
      </c>
      <c r="C16" t="s">
        <v>85</v>
      </c>
      <c r="D16" t="s">
        <v>86</v>
      </c>
      <c r="E16" s="3">
        <v>382380000</v>
      </c>
      <c r="F16" t="s">
        <v>87</v>
      </c>
      <c r="G16" t="s">
        <v>88</v>
      </c>
    </row>
    <row r="17" spans="1:7">
      <c r="A17" t="s">
        <v>89</v>
      </c>
      <c r="B17" t="s">
        <v>90</v>
      </c>
      <c r="C17" t="s">
        <v>91</v>
      </c>
      <c r="D17" t="s">
        <v>92</v>
      </c>
      <c r="E17" s="3">
        <v>379820000</v>
      </c>
      <c r="F17" t="s">
        <v>93</v>
      </c>
      <c r="G17" t="s">
        <v>94</v>
      </c>
    </row>
    <row r="18" spans="1:7">
      <c r="A18" t="s">
        <v>95</v>
      </c>
      <c r="B18" t="s">
        <v>96</v>
      </c>
      <c r="C18" t="s">
        <v>97</v>
      </c>
      <c r="D18" t="s">
        <v>98</v>
      </c>
      <c r="E18" s="3">
        <v>376940000</v>
      </c>
      <c r="F18" t="s">
        <v>99</v>
      </c>
      <c r="G18" t="s">
        <v>100</v>
      </c>
    </row>
    <row r="19" spans="1:7">
      <c r="A19" t="s">
        <v>101</v>
      </c>
      <c r="B19" t="s">
        <v>102</v>
      </c>
      <c r="C19" t="s">
        <v>103</v>
      </c>
      <c r="D19" t="s">
        <v>98</v>
      </c>
      <c r="E19" s="3">
        <v>356840000</v>
      </c>
      <c r="F19" t="s">
        <v>104</v>
      </c>
      <c r="G19" t="s">
        <v>105</v>
      </c>
    </row>
    <row r="20" spans="1:7">
      <c r="A20" t="s">
        <v>106</v>
      </c>
      <c r="B20" t="s">
        <v>107</v>
      </c>
      <c r="C20" t="s">
        <v>108</v>
      </c>
      <c r="D20" t="s">
        <v>109</v>
      </c>
      <c r="E20" s="3">
        <v>351230000</v>
      </c>
      <c r="F20" t="s">
        <v>110</v>
      </c>
      <c r="G20" t="s">
        <v>88</v>
      </c>
    </row>
    <row r="21" spans="1:7">
      <c r="A21" t="s">
        <v>111</v>
      </c>
      <c r="B21" t="s">
        <v>112</v>
      </c>
      <c r="C21" t="s">
        <v>113</v>
      </c>
      <c r="D21" t="s">
        <v>10</v>
      </c>
      <c r="E21" s="3">
        <v>350980000</v>
      </c>
      <c r="F21" t="s">
        <v>114</v>
      </c>
      <c r="G21" t="s">
        <v>115</v>
      </c>
    </row>
    <row r="22" spans="1:7">
      <c r="A22" t="s">
        <v>116</v>
      </c>
      <c r="B22" t="s">
        <v>117</v>
      </c>
      <c r="C22" t="s">
        <v>118</v>
      </c>
      <c r="D22" t="s">
        <v>33</v>
      </c>
      <c r="E22" s="3">
        <v>3580000000</v>
      </c>
      <c r="F22" t="s">
        <v>119</v>
      </c>
      <c r="G22" t="s">
        <v>120</v>
      </c>
    </row>
    <row r="23" spans="1:7">
      <c r="A23" t="s">
        <v>121</v>
      </c>
      <c r="B23" t="s">
        <v>121</v>
      </c>
      <c r="C23" t="s">
        <v>122</v>
      </c>
      <c r="D23" t="s">
        <v>123</v>
      </c>
      <c r="E23" s="3">
        <v>1780000000</v>
      </c>
      <c r="F23" t="s">
        <v>124</v>
      </c>
      <c r="G23" t="s">
        <v>125</v>
      </c>
    </row>
    <row r="24" spans="1:7">
      <c r="A24" t="s">
        <v>126</v>
      </c>
      <c r="B24" t="s">
        <v>127</v>
      </c>
      <c r="C24" t="s">
        <v>128</v>
      </c>
      <c r="D24" t="s">
        <v>42</v>
      </c>
      <c r="E24" s="3">
        <v>1620000000</v>
      </c>
      <c r="F24" t="s">
        <v>129</v>
      </c>
      <c r="G24" t="s">
        <v>130</v>
      </c>
    </row>
    <row r="25" spans="1:7">
      <c r="A25" t="s">
        <v>131</v>
      </c>
      <c r="B25" t="s">
        <v>131</v>
      </c>
      <c r="C25" t="s">
        <v>132</v>
      </c>
      <c r="D25" t="s">
        <v>133</v>
      </c>
      <c r="E25" s="3">
        <v>1580000000</v>
      </c>
      <c r="F25" t="s">
        <v>134</v>
      </c>
      <c r="G25" t="s">
        <v>135</v>
      </c>
    </row>
    <row r="26" spans="1:7">
      <c r="A26" t="s">
        <v>136</v>
      </c>
      <c r="B26" t="s">
        <v>137</v>
      </c>
      <c r="C26" t="s">
        <v>138</v>
      </c>
      <c r="D26" t="s">
        <v>42</v>
      </c>
      <c r="E26" s="3">
        <v>1330000000</v>
      </c>
      <c r="F26" t="s">
        <v>139</v>
      </c>
      <c r="G26" t="s">
        <v>140</v>
      </c>
    </row>
    <row r="27" spans="1:7">
      <c r="A27" t="s">
        <v>141</v>
      </c>
      <c r="B27" t="s">
        <v>142</v>
      </c>
      <c r="C27" t="s">
        <v>143</v>
      </c>
      <c r="D27" t="s">
        <v>144</v>
      </c>
      <c r="E27" s="3">
        <v>980690000</v>
      </c>
      <c r="F27" t="s">
        <v>145</v>
      </c>
      <c r="G27" t="s">
        <v>146</v>
      </c>
    </row>
    <row r="28" spans="1:7">
      <c r="A28" t="s">
        <v>147</v>
      </c>
      <c r="B28" t="s">
        <v>148</v>
      </c>
      <c r="C28" t="s">
        <v>149</v>
      </c>
      <c r="D28" t="s">
        <v>150</v>
      </c>
      <c r="E28" s="3">
        <v>972120000</v>
      </c>
      <c r="F28" t="s">
        <v>151</v>
      </c>
      <c r="G28" t="s">
        <v>152</v>
      </c>
    </row>
    <row r="29" spans="1:7">
      <c r="A29" t="s">
        <v>153</v>
      </c>
      <c r="B29" t="s">
        <v>154</v>
      </c>
      <c r="C29" t="s">
        <v>155</v>
      </c>
      <c r="D29" t="s">
        <v>38</v>
      </c>
      <c r="E29" s="3">
        <v>616030000</v>
      </c>
      <c r="F29" t="s">
        <v>156</v>
      </c>
      <c r="G29" t="s">
        <v>157</v>
      </c>
    </row>
    <row r="30" spans="1:7">
      <c r="A30" t="s">
        <v>158</v>
      </c>
      <c r="B30" t="s">
        <v>158</v>
      </c>
      <c r="C30" t="s">
        <v>159</v>
      </c>
      <c r="D30" t="s">
        <v>28</v>
      </c>
      <c r="E30" s="3">
        <v>583760000</v>
      </c>
      <c r="F30" t="s">
        <v>160</v>
      </c>
      <c r="G30" t="s">
        <v>161</v>
      </c>
    </row>
    <row r="31" spans="1:7">
      <c r="A31" t="s">
        <v>162</v>
      </c>
      <c r="B31" t="s">
        <v>163</v>
      </c>
      <c r="C31" t="s">
        <v>164</v>
      </c>
      <c r="D31" t="s">
        <v>42</v>
      </c>
      <c r="E31" s="3">
        <v>565410000</v>
      </c>
      <c r="F31" t="s">
        <v>165</v>
      </c>
      <c r="G31" t="s">
        <v>166</v>
      </c>
    </row>
    <row r="32" spans="1:7">
      <c r="A32" t="s">
        <v>167</v>
      </c>
      <c r="B32" t="s">
        <v>168</v>
      </c>
      <c r="C32" t="s">
        <v>169</v>
      </c>
      <c r="D32" t="s">
        <v>170</v>
      </c>
      <c r="E32" s="3">
        <v>82140000</v>
      </c>
      <c r="F32" t="s">
        <v>171</v>
      </c>
      <c r="G32" t="s">
        <v>172</v>
      </c>
    </row>
    <row r="33" spans="1:7">
      <c r="A33" t="s">
        <v>173</v>
      </c>
      <c r="B33" t="s">
        <v>174</v>
      </c>
      <c r="C33" t="s">
        <v>175</v>
      </c>
      <c r="D33" t="s">
        <v>176</v>
      </c>
      <c r="E33" s="3">
        <v>81480000</v>
      </c>
      <c r="F33" t="s">
        <v>177</v>
      </c>
      <c r="G33" t="s">
        <v>178</v>
      </c>
    </row>
    <row r="34" spans="1:7">
      <c r="A34" t="s">
        <v>179</v>
      </c>
      <c r="B34" t="s">
        <v>180</v>
      </c>
      <c r="C34" t="s">
        <v>181</v>
      </c>
      <c r="D34" t="s">
        <v>182</v>
      </c>
      <c r="E34" s="3">
        <v>81440000</v>
      </c>
      <c r="F34" t="s">
        <v>183</v>
      </c>
      <c r="G34" t="s">
        <v>184</v>
      </c>
    </row>
    <row r="35" spans="1:7">
      <c r="A35" t="s">
        <v>185</v>
      </c>
      <c r="B35" t="s">
        <v>185</v>
      </c>
      <c r="C35" t="s">
        <v>186</v>
      </c>
      <c r="D35" t="s">
        <v>65</v>
      </c>
      <c r="E35" s="3">
        <v>81190000</v>
      </c>
      <c r="F35" t="s">
        <v>187</v>
      </c>
      <c r="G35" t="s">
        <v>188</v>
      </c>
    </row>
    <row r="36" spans="1:7">
      <c r="A36" t="s">
        <v>189</v>
      </c>
      <c r="B36" t="s">
        <v>190</v>
      </c>
      <c r="C36" t="s">
        <v>191</v>
      </c>
      <c r="D36" t="s">
        <v>192</v>
      </c>
      <c r="E36" s="3">
        <v>80450000</v>
      </c>
      <c r="F36" t="s">
        <v>193</v>
      </c>
      <c r="G36" t="s">
        <v>194</v>
      </c>
    </row>
    <row r="37" spans="1:7">
      <c r="A37" t="s">
        <v>195</v>
      </c>
      <c r="B37" t="s">
        <v>196</v>
      </c>
      <c r="C37" t="s">
        <v>197</v>
      </c>
      <c r="D37" t="s">
        <v>198</v>
      </c>
      <c r="E37" s="3">
        <v>79960000</v>
      </c>
      <c r="F37" t="s">
        <v>199</v>
      </c>
      <c r="G37" t="s">
        <v>200</v>
      </c>
    </row>
    <row r="38" spans="1:7">
      <c r="A38" t="s">
        <v>201</v>
      </c>
      <c r="B38" t="s">
        <v>202</v>
      </c>
      <c r="C38" t="s">
        <v>203</v>
      </c>
      <c r="D38" t="s">
        <v>204</v>
      </c>
      <c r="E38" s="3">
        <v>79740000</v>
      </c>
      <c r="F38" t="s">
        <v>205</v>
      </c>
      <c r="G38" t="s">
        <v>206</v>
      </c>
    </row>
    <row r="39" spans="1:7">
      <c r="A39" t="s">
        <v>207</v>
      </c>
      <c r="B39" t="s">
        <v>208</v>
      </c>
      <c r="C39" t="s">
        <v>209</v>
      </c>
      <c r="D39" t="s">
        <v>210</v>
      </c>
      <c r="E39" s="3">
        <v>79720000</v>
      </c>
      <c r="F39" t="s">
        <v>211</v>
      </c>
      <c r="G39" t="s">
        <v>212</v>
      </c>
    </row>
    <row r="40" spans="1:7">
      <c r="A40" t="s">
        <v>213</v>
      </c>
      <c r="B40" t="s">
        <v>214</v>
      </c>
      <c r="C40" t="s">
        <v>215</v>
      </c>
      <c r="D40" t="s">
        <v>16</v>
      </c>
      <c r="E40" s="3">
        <v>79470000</v>
      </c>
      <c r="F40" t="s">
        <v>216</v>
      </c>
      <c r="G40" t="s">
        <v>217</v>
      </c>
    </row>
    <row r="41" spans="1:7">
      <c r="A41" t="s">
        <v>218</v>
      </c>
      <c r="B41" t="s">
        <v>219</v>
      </c>
      <c r="C41" t="s">
        <v>220</v>
      </c>
      <c r="D41" t="s">
        <v>221</v>
      </c>
      <c r="E41" s="3">
        <v>79090000</v>
      </c>
      <c r="F41" t="s">
        <v>222</v>
      </c>
      <c r="G41" t="s">
        <v>223</v>
      </c>
    </row>
    <row r="42" spans="1:7">
      <c r="A42" t="s">
        <v>224</v>
      </c>
      <c r="B42" t="s">
        <v>225</v>
      </c>
      <c r="C42" t="s">
        <v>226</v>
      </c>
      <c r="D42" t="s">
        <v>42</v>
      </c>
      <c r="E42" s="3">
        <v>54270000</v>
      </c>
      <c r="F42" t="s">
        <v>227</v>
      </c>
      <c r="G42" t="s">
        <v>228</v>
      </c>
    </row>
    <row r="43" spans="1:7">
      <c r="A43" t="s">
        <v>229</v>
      </c>
      <c r="B43" t="s">
        <v>230</v>
      </c>
      <c r="C43" t="s">
        <v>231</v>
      </c>
      <c r="D43" t="s">
        <v>182</v>
      </c>
      <c r="E43" s="3">
        <v>54250000</v>
      </c>
      <c r="F43" t="s">
        <v>232</v>
      </c>
      <c r="G43" t="s">
        <v>233</v>
      </c>
    </row>
    <row r="44" spans="1:7">
      <c r="A44" t="s">
        <v>234</v>
      </c>
      <c r="B44" t="s">
        <v>235</v>
      </c>
      <c r="C44" t="s">
        <v>236</v>
      </c>
      <c r="D44" t="s">
        <v>28</v>
      </c>
      <c r="E44" s="3">
        <v>53830000</v>
      </c>
      <c r="F44" t="s">
        <v>237</v>
      </c>
      <c r="G44" t="s">
        <v>238</v>
      </c>
    </row>
    <row r="45" spans="1:7">
      <c r="A45" t="s">
        <v>239</v>
      </c>
      <c r="B45" t="s">
        <v>240</v>
      </c>
      <c r="C45" t="s">
        <v>241</v>
      </c>
      <c r="D45" t="s">
        <v>242</v>
      </c>
      <c r="E45" s="3">
        <v>53740000</v>
      </c>
      <c r="F45" t="s">
        <v>243</v>
      </c>
      <c r="G45" t="s">
        <v>244</v>
      </c>
    </row>
    <row r="46" spans="1:7">
      <c r="A46" t="s">
        <v>245</v>
      </c>
      <c r="B46" t="s">
        <v>245</v>
      </c>
      <c r="C46" t="s">
        <v>246</v>
      </c>
      <c r="D46" t="s">
        <v>150</v>
      </c>
      <c r="E46" s="3">
        <v>53630000</v>
      </c>
      <c r="F46" t="s">
        <v>247</v>
      </c>
      <c r="G46" t="s">
        <v>248</v>
      </c>
    </row>
    <row r="47" spans="1:7">
      <c r="A47" t="s">
        <v>249</v>
      </c>
      <c r="B47" t="s">
        <v>250</v>
      </c>
      <c r="C47" t="s">
        <v>251</v>
      </c>
      <c r="D47" t="s">
        <v>252</v>
      </c>
      <c r="E47" s="3">
        <v>53540000</v>
      </c>
      <c r="F47" t="s">
        <v>253</v>
      </c>
      <c r="G47" t="s">
        <v>254</v>
      </c>
    </row>
    <row r="48" spans="1:7">
      <c r="A48" t="s">
        <v>255</v>
      </c>
      <c r="B48" t="s">
        <v>256</v>
      </c>
      <c r="C48" t="s">
        <v>257</v>
      </c>
      <c r="D48" t="s">
        <v>28</v>
      </c>
      <c r="E48" s="3">
        <v>53540000</v>
      </c>
      <c r="F48" t="s">
        <v>258</v>
      </c>
      <c r="G48" t="s">
        <v>259</v>
      </c>
    </row>
    <row r="49" spans="1:7">
      <c r="A49" t="s">
        <v>260</v>
      </c>
      <c r="B49" t="s">
        <v>261</v>
      </c>
      <c r="C49" t="s">
        <v>262</v>
      </c>
      <c r="D49" t="s">
        <v>22</v>
      </c>
      <c r="E49" s="3">
        <v>53360000</v>
      </c>
      <c r="F49" t="s">
        <v>263</v>
      </c>
      <c r="G49" t="s">
        <v>264</v>
      </c>
    </row>
    <row r="50" spans="1:7">
      <c r="A50" t="s">
        <v>265</v>
      </c>
      <c r="B50" t="s">
        <v>266</v>
      </c>
      <c r="C50" t="s">
        <v>267</v>
      </c>
      <c r="D50" t="s">
        <v>268</v>
      </c>
      <c r="E50" s="3">
        <v>53310000</v>
      </c>
      <c r="F50" t="s">
        <v>269</v>
      </c>
      <c r="G50" t="s">
        <v>270</v>
      </c>
    </row>
    <row r="51" spans="1:7">
      <c r="A51" t="s">
        <v>271</v>
      </c>
      <c r="B51" t="s">
        <v>272</v>
      </c>
      <c r="C51" t="s">
        <v>273</v>
      </c>
      <c r="D51" t="s">
        <v>274</v>
      </c>
      <c r="E51" s="3">
        <v>52590000</v>
      </c>
      <c r="F51" t="s">
        <v>275</v>
      </c>
      <c r="G51" t="s">
        <v>276</v>
      </c>
    </row>
    <row r="52" spans="1:7">
      <c r="A52" t="s">
        <v>277</v>
      </c>
      <c r="B52" t="s">
        <v>278</v>
      </c>
      <c r="C52" t="s">
        <v>279</v>
      </c>
      <c r="D52" t="s">
        <v>65</v>
      </c>
      <c r="E52" s="3">
        <v>39460000</v>
      </c>
      <c r="F52" t="s">
        <v>280</v>
      </c>
      <c r="G52" t="s">
        <v>281</v>
      </c>
    </row>
    <row r="53" spans="1:7">
      <c r="A53" t="s">
        <v>282</v>
      </c>
      <c r="B53" t="s">
        <v>283</v>
      </c>
      <c r="C53" t="s">
        <v>284</v>
      </c>
      <c r="D53" t="s">
        <v>285</v>
      </c>
      <c r="E53" s="3">
        <v>39320000</v>
      </c>
      <c r="F53" t="s">
        <v>286</v>
      </c>
      <c r="G53" t="s">
        <v>287</v>
      </c>
    </row>
    <row r="54" spans="1:7">
      <c r="A54" t="s">
        <v>288</v>
      </c>
      <c r="B54" t="s">
        <v>289</v>
      </c>
      <c r="C54" t="s">
        <v>290</v>
      </c>
      <c r="D54" t="s">
        <v>291</v>
      </c>
      <c r="E54" s="3">
        <v>39210000</v>
      </c>
      <c r="F54" t="s">
        <v>292</v>
      </c>
      <c r="G54" t="s">
        <v>293</v>
      </c>
    </row>
    <row r="55" spans="1:7">
      <c r="A55" t="s">
        <v>294</v>
      </c>
      <c r="B55" t="s">
        <v>295</v>
      </c>
      <c r="C55" t="s">
        <v>296</v>
      </c>
      <c r="D55" t="s">
        <v>42</v>
      </c>
      <c r="E55" s="3">
        <v>39080000</v>
      </c>
      <c r="F55" t="s">
        <v>297</v>
      </c>
      <c r="G55" t="s">
        <v>298</v>
      </c>
    </row>
    <row r="56" spans="1:7">
      <c r="A56" t="s">
        <v>299</v>
      </c>
      <c r="B56" t="s">
        <v>299</v>
      </c>
      <c r="C56" t="s">
        <v>300</v>
      </c>
      <c r="D56" t="s">
        <v>133</v>
      </c>
      <c r="E56" s="3">
        <v>38960000</v>
      </c>
      <c r="F56" t="s">
        <v>301</v>
      </c>
      <c r="G56" t="s">
        <v>302</v>
      </c>
    </row>
    <row r="57" spans="1:7">
      <c r="A57" t="s">
        <v>303</v>
      </c>
      <c r="B57" t="s">
        <v>304</v>
      </c>
      <c r="C57" t="s">
        <v>305</v>
      </c>
      <c r="D57" t="s">
        <v>268</v>
      </c>
      <c r="E57" s="3">
        <v>38910000</v>
      </c>
      <c r="F57" t="s">
        <v>306</v>
      </c>
      <c r="G57" t="s">
        <v>307</v>
      </c>
    </row>
    <row r="58" spans="1:7">
      <c r="A58" t="s">
        <v>308</v>
      </c>
      <c r="B58" t="s">
        <v>309</v>
      </c>
      <c r="C58" t="s">
        <v>310</v>
      </c>
      <c r="D58" t="s">
        <v>311</v>
      </c>
      <c r="E58" s="3">
        <v>38710000</v>
      </c>
      <c r="F58" t="s">
        <v>312</v>
      </c>
      <c r="G58" t="s">
        <v>313</v>
      </c>
    </row>
    <row r="59" spans="1:7">
      <c r="A59" t="s">
        <v>314</v>
      </c>
      <c r="B59" t="s">
        <v>315</v>
      </c>
      <c r="C59" t="s">
        <v>316</v>
      </c>
      <c r="D59" t="s">
        <v>42</v>
      </c>
      <c r="E59" s="3">
        <v>38800000</v>
      </c>
      <c r="F59" t="s">
        <v>317</v>
      </c>
      <c r="G59" t="s">
        <v>318</v>
      </c>
    </row>
    <row r="60" spans="1:7">
      <c r="A60" t="s">
        <v>319</v>
      </c>
      <c r="B60" t="s">
        <v>319</v>
      </c>
      <c r="C60" t="s">
        <v>320</v>
      </c>
      <c r="D60" t="s">
        <v>321</v>
      </c>
      <c r="E60" s="3">
        <v>38690000</v>
      </c>
      <c r="F60" t="s">
        <v>322</v>
      </c>
      <c r="G60" t="s">
        <v>323</v>
      </c>
    </row>
    <row r="61" spans="1:7">
      <c r="A61" t="s">
        <v>324</v>
      </c>
      <c r="B61" t="s">
        <v>324</v>
      </c>
      <c r="C61" t="s">
        <v>325</v>
      </c>
      <c r="D61" t="s">
        <v>33</v>
      </c>
      <c r="E61" s="3">
        <v>38470000</v>
      </c>
      <c r="F61" t="s">
        <v>326</v>
      </c>
      <c r="G61" t="s">
        <v>327</v>
      </c>
    </row>
    <row r="62" spans="1:7">
      <c r="A62" t="s">
        <v>328</v>
      </c>
      <c r="B62" t="s">
        <v>329</v>
      </c>
      <c r="C62" t="s">
        <v>330</v>
      </c>
      <c r="D62" t="s">
        <v>331</v>
      </c>
      <c r="E62" s="3">
        <v>30700000</v>
      </c>
      <c r="F62" t="s">
        <v>332</v>
      </c>
      <c r="G62" t="s">
        <v>333</v>
      </c>
    </row>
    <row r="63" spans="1:7">
      <c r="A63" t="s">
        <v>334</v>
      </c>
      <c r="B63" t="s">
        <v>335</v>
      </c>
      <c r="C63" t="s">
        <v>336</v>
      </c>
      <c r="D63" t="s">
        <v>10</v>
      </c>
      <c r="E63" s="3">
        <v>30690000</v>
      </c>
      <c r="F63" t="s">
        <v>337</v>
      </c>
      <c r="G63" t="s">
        <v>238</v>
      </c>
    </row>
    <row r="64" spans="1:7">
      <c r="A64" t="s">
        <v>338</v>
      </c>
      <c r="B64" t="s">
        <v>339</v>
      </c>
      <c r="C64" t="s">
        <v>340</v>
      </c>
      <c r="D64" t="s">
        <v>28</v>
      </c>
      <c r="E64" s="3">
        <v>30640000</v>
      </c>
      <c r="F64" t="s">
        <v>341</v>
      </c>
      <c r="G64" t="s">
        <v>342</v>
      </c>
    </row>
    <row r="65" spans="1:7">
      <c r="A65" t="s">
        <v>343</v>
      </c>
      <c r="B65" t="s">
        <v>344</v>
      </c>
      <c r="C65" t="s">
        <v>345</v>
      </c>
      <c r="D65" t="s">
        <v>28</v>
      </c>
      <c r="E65" s="3">
        <v>30510000</v>
      </c>
      <c r="F65" t="s">
        <v>346</v>
      </c>
      <c r="G65" t="s">
        <v>347</v>
      </c>
    </row>
    <row r="66" spans="1:7">
      <c r="A66" t="s">
        <v>348</v>
      </c>
      <c r="B66" t="s">
        <v>349</v>
      </c>
      <c r="C66" t="s">
        <v>350</v>
      </c>
      <c r="D66" t="s">
        <v>351</v>
      </c>
      <c r="E66" s="3">
        <v>30360000</v>
      </c>
      <c r="F66" t="s">
        <v>352</v>
      </c>
      <c r="G66" t="s">
        <v>353</v>
      </c>
    </row>
    <row r="67" spans="1:7">
      <c r="A67" t="s">
        <v>354</v>
      </c>
      <c r="B67" t="s">
        <v>355</v>
      </c>
      <c r="C67" t="s">
        <v>356</v>
      </c>
      <c r="D67" t="s">
        <v>285</v>
      </c>
      <c r="E67" s="3">
        <v>30270000</v>
      </c>
      <c r="F67" t="s">
        <v>357</v>
      </c>
      <c r="G67" t="s">
        <v>358</v>
      </c>
    </row>
    <row r="68" spans="1:7">
      <c r="A68" t="s">
        <v>359</v>
      </c>
      <c r="B68" t="s">
        <v>360</v>
      </c>
      <c r="C68" t="s">
        <v>361</v>
      </c>
      <c r="D68" t="s">
        <v>28</v>
      </c>
      <c r="E68" s="3">
        <v>30170000</v>
      </c>
      <c r="F68" t="s">
        <v>362</v>
      </c>
      <c r="G68" t="s">
        <v>363</v>
      </c>
    </row>
    <row r="69" spans="1:7">
      <c r="A69" t="s">
        <v>364</v>
      </c>
      <c r="B69" t="s">
        <v>365</v>
      </c>
      <c r="C69" t="s">
        <v>366</v>
      </c>
      <c r="D69" t="s">
        <v>252</v>
      </c>
      <c r="E69" s="3">
        <v>30140000</v>
      </c>
      <c r="F69" t="s">
        <v>367</v>
      </c>
      <c r="G69" t="s">
        <v>368</v>
      </c>
    </row>
    <row r="70" spans="1:7">
      <c r="A70" t="s">
        <v>369</v>
      </c>
      <c r="B70" t="s">
        <v>370</v>
      </c>
      <c r="C70" t="s">
        <v>371</v>
      </c>
      <c r="D70" t="s">
        <v>10</v>
      </c>
      <c r="E70" s="3">
        <v>30130000</v>
      </c>
      <c r="F70" t="s">
        <v>372</v>
      </c>
      <c r="G70" t="s">
        <v>373</v>
      </c>
    </row>
    <row r="71" spans="1:7">
      <c r="A71" t="s">
        <v>374</v>
      </c>
      <c r="B71" t="s">
        <v>375</v>
      </c>
      <c r="C71" t="s">
        <v>376</v>
      </c>
      <c r="D71" t="s">
        <v>252</v>
      </c>
      <c r="E71" s="3">
        <v>30060000</v>
      </c>
      <c r="F71" t="s">
        <v>377</v>
      </c>
      <c r="G71" t="s">
        <v>378</v>
      </c>
    </row>
    <row r="72" spans="1:7">
      <c r="A72" t="s">
        <v>379</v>
      </c>
      <c r="B72" t="s">
        <v>380</v>
      </c>
      <c r="C72" t="s">
        <v>381</v>
      </c>
      <c r="D72" t="s">
        <v>98</v>
      </c>
      <c r="E72" s="3">
        <v>24150000</v>
      </c>
      <c r="F72" t="s">
        <v>382</v>
      </c>
      <c r="G72" t="s">
        <v>383</v>
      </c>
    </row>
    <row r="73" spans="1:7">
      <c r="A73" t="s">
        <v>384</v>
      </c>
      <c r="B73" t="s">
        <v>385</v>
      </c>
      <c r="C73" t="s">
        <v>386</v>
      </c>
      <c r="D73" t="s">
        <v>387</v>
      </c>
      <c r="E73" s="3">
        <v>23980000</v>
      </c>
      <c r="F73" t="s">
        <v>388</v>
      </c>
      <c r="G73" t="s">
        <v>389</v>
      </c>
    </row>
    <row r="74" spans="1:7">
      <c r="A74" t="s">
        <v>390</v>
      </c>
      <c r="B74" t="s">
        <v>391</v>
      </c>
      <c r="C74" t="s">
        <v>392</v>
      </c>
      <c r="D74" t="s">
        <v>393</v>
      </c>
      <c r="E74" s="3">
        <v>23940000</v>
      </c>
      <c r="F74" t="s">
        <v>394</v>
      </c>
      <c r="G74" t="s">
        <v>395</v>
      </c>
    </row>
    <row r="75" spans="1:7">
      <c r="A75" t="s">
        <v>396</v>
      </c>
      <c r="B75" t="s">
        <v>397</v>
      </c>
      <c r="C75" t="s">
        <v>398</v>
      </c>
      <c r="D75" t="s">
        <v>42</v>
      </c>
      <c r="E75" s="3">
        <v>23920000</v>
      </c>
      <c r="F75" t="s">
        <v>399</v>
      </c>
      <c r="G75" t="s">
        <v>400</v>
      </c>
    </row>
    <row r="76" spans="1:7">
      <c r="A76" t="s">
        <v>401</v>
      </c>
      <c r="B76" t="s">
        <v>402</v>
      </c>
      <c r="C76" t="s">
        <v>403</v>
      </c>
      <c r="D76" t="s">
        <v>404</v>
      </c>
      <c r="E76" s="3">
        <v>23910000</v>
      </c>
      <c r="F76" t="s">
        <v>405</v>
      </c>
      <c r="G76" t="s">
        <v>406</v>
      </c>
    </row>
    <row r="77" spans="1:7">
      <c r="A77" t="s">
        <v>407</v>
      </c>
      <c r="B77" t="s">
        <v>408</v>
      </c>
      <c r="C77" t="s">
        <v>409</v>
      </c>
      <c r="D77" t="s">
        <v>133</v>
      </c>
      <c r="E77" s="3">
        <v>23820000</v>
      </c>
      <c r="F77" t="s">
        <v>410</v>
      </c>
      <c r="G77" t="s">
        <v>411</v>
      </c>
    </row>
    <row r="78" spans="1:7">
      <c r="A78" t="s">
        <v>412</v>
      </c>
      <c r="B78" t="s">
        <v>413</v>
      </c>
      <c r="C78" t="s">
        <v>414</v>
      </c>
      <c r="D78" t="s">
        <v>48</v>
      </c>
      <c r="E78" s="3">
        <v>23750000</v>
      </c>
      <c r="F78" t="s">
        <v>415</v>
      </c>
      <c r="G78" t="s">
        <v>416</v>
      </c>
    </row>
    <row r="79" spans="1:7">
      <c r="A79" t="s">
        <v>417</v>
      </c>
      <c r="B79" t="s">
        <v>418</v>
      </c>
      <c r="C79" t="s">
        <v>419</v>
      </c>
      <c r="D79" t="s">
        <v>33</v>
      </c>
      <c r="E79" s="3">
        <v>23750000</v>
      </c>
      <c r="F79" t="s">
        <v>420</v>
      </c>
      <c r="G79" t="s">
        <v>421</v>
      </c>
    </row>
    <row r="80" spans="1:7">
      <c r="A80" t="s">
        <v>422</v>
      </c>
      <c r="B80" t="s">
        <v>423</v>
      </c>
      <c r="C80" t="s">
        <v>424</v>
      </c>
      <c r="D80" t="s">
        <v>42</v>
      </c>
      <c r="E80" s="3">
        <v>23720000</v>
      </c>
      <c r="F80" t="s">
        <v>425</v>
      </c>
      <c r="G80" t="s">
        <v>426</v>
      </c>
    </row>
    <row r="81" spans="1:7">
      <c r="A81" t="s">
        <v>427</v>
      </c>
      <c r="B81" t="s">
        <v>428</v>
      </c>
      <c r="C81" t="s">
        <v>429</v>
      </c>
      <c r="D81" t="s">
        <v>430</v>
      </c>
      <c r="E81" s="3">
        <v>23680000</v>
      </c>
      <c r="F81" t="s">
        <v>431</v>
      </c>
      <c r="G81" t="s">
        <v>432</v>
      </c>
    </row>
    <row r="82" spans="1:7">
      <c r="A82" t="s">
        <v>433</v>
      </c>
      <c r="B82" t="s">
        <v>434</v>
      </c>
      <c r="C82" t="s">
        <v>435</v>
      </c>
      <c r="D82" t="s">
        <v>436</v>
      </c>
      <c r="E82" s="3">
        <v>18180000</v>
      </c>
      <c r="F82" t="s">
        <v>437</v>
      </c>
      <c r="G82" t="s">
        <v>438</v>
      </c>
    </row>
    <row r="83" spans="1:7">
      <c r="A83" t="s">
        <v>439</v>
      </c>
      <c r="B83" t="s">
        <v>440</v>
      </c>
      <c r="C83" t="s">
        <v>441</v>
      </c>
      <c r="D83" t="s">
        <v>442</v>
      </c>
      <c r="E83" s="3">
        <v>18140000</v>
      </c>
      <c r="F83" t="s">
        <v>443</v>
      </c>
      <c r="G83" t="s">
        <v>444</v>
      </c>
    </row>
    <row r="84" spans="1:7">
      <c r="A84" t="s">
        <v>445</v>
      </c>
      <c r="B84" t="s">
        <v>446</v>
      </c>
      <c r="C84" t="s">
        <v>447</v>
      </c>
      <c r="D84" t="s">
        <v>16</v>
      </c>
      <c r="E84" s="3">
        <v>18120000</v>
      </c>
      <c r="F84" t="s">
        <v>448</v>
      </c>
      <c r="G84" t="s">
        <v>449</v>
      </c>
    </row>
    <row r="85" spans="1:7">
      <c r="A85" t="s">
        <v>450</v>
      </c>
      <c r="B85" t="s">
        <v>451</v>
      </c>
      <c r="C85" t="s">
        <v>452</v>
      </c>
      <c r="D85" t="s">
        <v>453</v>
      </c>
      <c r="E85" s="3">
        <v>18090000</v>
      </c>
      <c r="F85" t="s">
        <v>454</v>
      </c>
      <c r="G85" t="s">
        <v>455</v>
      </c>
    </row>
    <row r="86" spans="1:7">
      <c r="A86" t="s">
        <v>456</v>
      </c>
      <c r="B86" t="s">
        <v>457</v>
      </c>
      <c r="C86" t="s">
        <v>458</v>
      </c>
      <c r="D86" t="s">
        <v>459</v>
      </c>
      <c r="E86" s="3">
        <v>18070000</v>
      </c>
      <c r="F86" t="s">
        <v>460</v>
      </c>
      <c r="G86" t="s">
        <v>461</v>
      </c>
    </row>
    <row r="87" spans="1:7">
      <c r="A87" t="s">
        <v>462</v>
      </c>
      <c r="B87" t="s">
        <v>463</v>
      </c>
      <c r="C87" t="s">
        <v>464</v>
      </c>
      <c r="D87" t="s">
        <v>465</v>
      </c>
      <c r="E87" s="3">
        <v>18060000</v>
      </c>
      <c r="F87" t="s">
        <v>466</v>
      </c>
      <c r="G87" t="s">
        <v>467</v>
      </c>
    </row>
    <row r="88" spans="1:7">
      <c r="A88" t="s">
        <v>468</v>
      </c>
      <c r="B88" t="s">
        <v>469</v>
      </c>
      <c r="C88" t="s">
        <v>470</v>
      </c>
      <c r="D88" t="s">
        <v>471</v>
      </c>
      <c r="E88" s="3">
        <v>17930000</v>
      </c>
      <c r="F88" t="s">
        <v>472</v>
      </c>
      <c r="G88" t="s">
        <v>473</v>
      </c>
    </row>
    <row r="89" spans="1:7">
      <c r="A89" t="s">
        <v>474</v>
      </c>
      <c r="B89" t="s">
        <v>475</v>
      </c>
      <c r="C89" t="s">
        <v>476</v>
      </c>
      <c r="D89" t="s">
        <v>477</v>
      </c>
      <c r="E89" s="3">
        <v>17660000</v>
      </c>
      <c r="F89" t="s">
        <v>478</v>
      </c>
      <c r="G89" t="s">
        <v>479</v>
      </c>
    </row>
    <row r="90" spans="1:7">
      <c r="A90" t="s">
        <v>480</v>
      </c>
      <c r="B90" t="s">
        <v>481</v>
      </c>
      <c r="C90" t="s">
        <v>482</v>
      </c>
      <c r="D90" t="s">
        <v>483</v>
      </c>
      <c r="E90" s="3">
        <v>17620000</v>
      </c>
      <c r="F90" t="s">
        <v>484</v>
      </c>
      <c r="G90" t="s">
        <v>485</v>
      </c>
    </row>
    <row r="91" spans="1:7">
      <c r="A91" t="s">
        <v>486</v>
      </c>
      <c r="B91" t="s">
        <v>487</v>
      </c>
      <c r="C91" t="s">
        <v>488</v>
      </c>
      <c r="D91" t="s">
        <v>489</v>
      </c>
      <c r="E91" s="3">
        <v>17620000</v>
      </c>
      <c r="F91" t="s">
        <v>490</v>
      </c>
      <c r="G91" t="s">
        <v>491</v>
      </c>
    </row>
    <row r="92" spans="1:7">
      <c r="A92" t="s">
        <v>492</v>
      </c>
      <c r="B92" t="s">
        <v>493</v>
      </c>
      <c r="C92" t="s">
        <v>494</v>
      </c>
      <c r="D92" t="s">
        <v>495</v>
      </c>
      <c r="E92" s="3">
        <v>13740000</v>
      </c>
      <c r="F92" t="s">
        <v>496</v>
      </c>
      <c r="G92" t="s">
        <v>497</v>
      </c>
    </row>
    <row r="93" spans="1:7">
      <c r="A93" t="s">
        <v>498</v>
      </c>
      <c r="B93" t="s">
        <v>499</v>
      </c>
      <c r="C93" t="s">
        <v>500</v>
      </c>
      <c r="D93" t="s">
        <v>501</v>
      </c>
      <c r="E93" s="3">
        <v>13690000</v>
      </c>
      <c r="F93" t="s">
        <v>502</v>
      </c>
      <c r="G93" t="s">
        <v>503</v>
      </c>
    </row>
    <row r="94" spans="1:7">
      <c r="A94" t="s">
        <v>504</v>
      </c>
      <c r="B94" t="s">
        <v>505</v>
      </c>
      <c r="C94" t="s">
        <v>506</v>
      </c>
      <c r="D94" t="s">
        <v>28</v>
      </c>
      <c r="E94" s="3">
        <v>13680000</v>
      </c>
      <c r="F94" t="s">
        <v>507</v>
      </c>
      <c r="G94" t="s">
        <v>508</v>
      </c>
    </row>
    <row r="95" spans="1:7">
      <c r="A95" t="s">
        <v>509</v>
      </c>
      <c r="B95" t="s">
        <v>510</v>
      </c>
      <c r="C95" t="s">
        <v>511</v>
      </c>
      <c r="D95" t="s">
        <v>512</v>
      </c>
      <c r="E95" s="3">
        <v>13680000</v>
      </c>
      <c r="F95" t="s">
        <v>513</v>
      </c>
      <c r="G95" t="s">
        <v>514</v>
      </c>
    </row>
    <row r="96" spans="1:7">
      <c r="A96" t="s">
        <v>515</v>
      </c>
      <c r="B96" t="s">
        <v>516</v>
      </c>
      <c r="C96" t="s">
        <v>517</v>
      </c>
      <c r="D96" t="s">
        <v>10</v>
      </c>
      <c r="E96" s="3">
        <v>13650000</v>
      </c>
      <c r="F96" t="s">
        <v>518</v>
      </c>
      <c r="G96" t="s">
        <v>519</v>
      </c>
    </row>
    <row r="97" spans="1:7">
      <c r="A97" t="s">
        <v>520</v>
      </c>
      <c r="B97" t="s">
        <v>521</v>
      </c>
      <c r="C97" t="s">
        <v>522</v>
      </c>
      <c r="D97" t="s">
        <v>10</v>
      </c>
      <c r="E97" s="3">
        <v>13620000</v>
      </c>
      <c r="F97" t="s">
        <v>523</v>
      </c>
      <c r="G97" t="s">
        <v>524</v>
      </c>
    </row>
    <row r="98" spans="1:7">
      <c r="A98" t="s">
        <v>525</v>
      </c>
      <c r="B98" t="s">
        <v>526</v>
      </c>
      <c r="C98" t="s">
        <v>527</v>
      </c>
      <c r="D98" t="s">
        <v>252</v>
      </c>
      <c r="E98" s="3">
        <v>13590000</v>
      </c>
      <c r="F98" t="s">
        <v>528</v>
      </c>
      <c r="G98" t="s">
        <v>529</v>
      </c>
    </row>
    <row r="99" spans="1:7">
      <c r="A99" t="s">
        <v>530</v>
      </c>
      <c r="B99" t="s">
        <v>531</v>
      </c>
      <c r="C99" t="s">
        <v>532</v>
      </c>
      <c r="D99" t="s">
        <v>533</v>
      </c>
      <c r="E99" s="3">
        <v>13590000</v>
      </c>
      <c r="F99" t="s">
        <v>534</v>
      </c>
      <c r="G99" t="s">
        <v>535</v>
      </c>
    </row>
    <row r="100" spans="1:7">
      <c r="A100" t="s">
        <v>536</v>
      </c>
      <c r="B100" t="s">
        <v>537</v>
      </c>
      <c r="C100" t="s">
        <v>538</v>
      </c>
      <c r="D100" t="s">
        <v>285</v>
      </c>
      <c r="E100" s="3">
        <v>13590000</v>
      </c>
      <c r="F100" t="s">
        <v>539</v>
      </c>
      <c r="G100" t="s">
        <v>540</v>
      </c>
    </row>
    <row r="101" spans="1:7">
      <c r="A101" t="s">
        <v>541</v>
      </c>
      <c r="B101" t="s">
        <v>542</v>
      </c>
      <c r="C101" t="s">
        <v>543</v>
      </c>
      <c r="D101" t="s">
        <v>123</v>
      </c>
      <c r="E101" s="3">
        <v>13550000</v>
      </c>
      <c r="F101" t="s">
        <v>544</v>
      </c>
      <c r="G101" t="s">
        <v>545</v>
      </c>
    </row>
    <row r="102" spans="1:7">
      <c r="A102" t="s">
        <v>546</v>
      </c>
      <c r="B102" t="s">
        <v>547</v>
      </c>
      <c r="C102" t="s">
        <v>548</v>
      </c>
      <c r="D102" t="s">
        <v>549</v>
      </c>
      <c r="E102" s="3">
        <v>10830000</v>
      </c>
      <c r="F102" t="s">
        <v>550</v>
      </c>
      <c r="G102" t="s">
        <v>551</v>
      </c>
    </row>
    <row r="103" spans="1:7">
      <c r="A103" t="s">
        <v>552</v>
      </c>
      <c r="B103" t="s">
        <v>553</v>
      </c>
      <c r="C103" t="s">
        <v>554</v>
      </c>
      <c r="D103" t="s">
        <v>501</v>
      </c>
      <c r="E103" s="3">
        <v>10790000</v>
      </c>
      <c r="F103" t="s">
        <v>555</v>
      </c>
      <c r="G103" t="s">
        <v>556</v>
      </c>
    </row>
    <row r="104" spans="1:7">
      <c r="A104" t="s">
        <v>557</v>
      </c>
      <c r="B104" t="s">
        <v>558</v>
      </c>
      <c r="C104" t="s">
        <v>559</v>
      </c>
      <c r="D104" t="s">
        <v>42</v>
      </c>
      <c r="E104" s="3">
        <v>10780000</v>
      </c>
      <c r="F104" t="s">
        <v>560</v>
      </c>
      <c r="G104" t="s">
        <v>561</v>
      </c>
    </row>
    <row r="105" spans="1:7">
      <c r="A105" t="s">
        <v>562</v>
      </c>
      <c r="B105" t="s">
        <v>563</v>
      </c>
      <c r="C105" t="s">
        <v>564</v>
      </c>
      <c r="D105" t="s">
        <v>565</v>
      </c>
      <c r="E105" s="3">
        <v>10770000</v>
      </c>
      <c r="F105" t="s">
        <v>566</v>
      </c>
      <c r="G105" t="s">
        <v>567</v>
      </c>
    </row>
    <row r="106" spans="1:7">
      <c r="A106" t="s">
        <v>568</v>
      </c>
      <c r="B106" t="s">
        <v>569</v>
      </c>
      <c r="C106" t="s">
        <v>570</v>
      </c>
      <c r="D106" t="s">
        <v>65</v>
      </c>
      <c r="E106" s="3">
        <v>10770000</v>
      </c>
      <c r="F106" t="s">
        <v>571</v>
      </c>
      <c r="G106" t="s">
        <v>572</v>
      </c>
    </row>
    <row r="107" spans="1:7">
      <c r="A107" t="s">
        <v>573</v>
      </c>
      <c r="B107" t="s">
        <v>574</v>
      </c>
      <c r="C107" t="s">
        <v>575</v>
      </c>
      <c r="D107" t="s">
        <v>453</v>
      </c>
      <c r="E107" s="3">
        <v>10640000</v>
      </c>
      <c r="F107" t="s">
        <v>576</v>
      </c>
      <c r="G107" t="s">
        <v>577</v>
      </c>
    </row>
    <row r="108" spans="1:7">
      <c r="A108" t="s">
        <v>578</v>
      </c>
      <c r="B108" t="s">
        <v>579</v>
      </c>
      <c r="C108" t="s">
        <v>580</v>
      </c>
      <c r="D108" t="s">
        <v>581</v>
      </c>
      <c r="E108" s="3">
        <v>10630000</v>
      </c>
      <c r="F108" t="s">
        <v>582</v>
      </c>
      <c r="G108" t="s">
        <v>583</v>
      </c>
    </row>
    <row r="109" spans="1:7">
      <c r="A109" t="s">
        <v>584</v>
      </c>
      <c r="B109" t="s">
        <v>585</v>
      </c>
      <c r="C109" t="s">
        <v>586</v>
      </c>
      <c r="D109" t="s">
        <v>459</v>
      </c>
      <c r="E109" s="3">
        <v>10610000</v>
      </c>
      <c r="F109" t="s">
        <v>587</v>
      </c>
      <c r="G109" t="s">
        <v>588</v>
      </c>
    </row>
    <row r="110" spans="1:7">
      <c r="A110" t="s">
        <v>589</v>
      </c>
      <c r="B110" t="s">
        <v>590</v>
      </c>
      <c r="C110" t="s">
        <v>591</v>
      </c>
      <c r="D110" t="s">
        <v>48</v>
      </c>
      <c r="E110" s="3">
        <v>10610000</v>
      </c>
      <c r="F110" t="s">
        <v>592</v>
      </c>
      <c r="G110" t="s">
        <v>593</v>
      </c>
    </row>
    <row r="111" spans="1:7">
      <c r="A111" t="s">
        <v>594</v>
      </c>
      <c r="B111" t="s">
        <v>595</v>
      </c>
      <c r="C111" t="s">
        <v>596</v>
      </c>
      <c r="D111" t="s">
        <v>28</v>
      </c>
      <c r="E111" s="3">
        <v>10580000</v>
      </c>
      <c r="F111" t="s">
        <v>597</v>
      </c>
      <c r="G111" t="s">
        <v>598</v>
      </c>
    </row>
    <row r="112" spans="1:7">
      <c r="A112" t="s">
        <v>599</v>
      </c>
      <c r="B112" t="s">
        <v>600</v>
      </c>
      <c r="C112" t="s">
        <v>601</v>
      </c>
      <c r="D112" t="s">
        <v>28</v>
      </c>
      <c r="E112" s="3">
        <v>8199999.9999999991</v>
      </c>
      <c r="F112" t="s">
        <v>602</v>
      </c>
      <c r="G112" t="s">
        <v>603</v>
      </c>
    </row>
    <row r="113" spans="1:7">
      <c r="A113" t="s">
        <v>604</v>
      </c>
      <c r="B113" t="s">
        <v>605</v>
      </c>
      <c r="C113" t="s">
        <v>606</v>
      </c>
      <c r="D113" t="s">
        <v>607</v>
      </c>
      <c r="E113" s="3">
        <v>8180000</v>
      </c>
      <c r="F113" t="s">
        <v>608</v>
      </c>
      <c r="G113" t="s">
        <v>609</v>
      </c>
    </row>
    <row r="114" spans="1:7">
      <c r="A114" t="s">
        <v>610</v>
      </c>
      <c r="B114" t="s">
        <v>611</v>
      </c>
      <c r="C114" t="s">
        <v>612</v>
      </c>
      <c r="D114" t="s">
        <v>28</v>
      </c>
      <c r="E114" s="3">
        <v>8140000.0000000009</v>
      </c>
      <c r="F114" t="s">
        <v>597</v>
      </c>
      <c r="G114" t="s">
        <v>613</v>
      </c>
    </row>
    <row r="115" spans="1:7">
      <c r="A115" t="s">
        <v>614</v>
      </c>
      <c r="B115" t="s">
        <v>615</v>
      </c>
      <c r="C115" t="s">
        <v>616</v>
      </c>
      <c r="D115" t="s">
        <v>59</v>
      </c>
      <c r="E115" s="3">
        <v>8140000.0000000009</v>
      </c>
      <c r="F115" t="s">
        <v>617</v>
      </c>
      <c r="G115" t="s">
        <v>618</v>
      </c>
    </row>
    <row r="116" spans="1:7">
      <c r="A116" t="s">
        <v>619</v>
      </c>
      <c r="B116" t="s">
        <v>620</v>
      </c>
      <c r="C116" t="s">
        <v>621</v>
      </c>
      <c r="D116" t="s">
        <v>16</v>
      </c>
      <c r="E116" s="3">
        <v>8119999.9999999991</v>
      </c>
      <c r="F116" t="s">
        <v>622</v>
      </c>
      <c r="G116" t="s">
        <v>623</v>
      </c>
    </row>
    <row r="117" spans="1:7">
      <c r="A117" t="s">
        <v>624</v>
      </c>
      <c r="B117" t="s">
        <v>625</v>
      </c>
      <c r="C117" t="s">
        <v>626</v>
      </c>
      <c r="D117" t="s">
        <v>16</v>
      </c>
      <c r="E117" s="3">
        <v>8090000</v>
      </c>
      <c r="F117" t="s">
        <v>627</v>
      </c>
      <c r="G117" t="s">
        <v>628</v>
      </c>
    </row>
    <row r="118" spans="1:7">
      <c r="A118" t="s">
        <v>629</v>
      </c>
      <c r="B118" t="s">
        <v>630</v>
      </c>
      <c r="C118" t="s">
        <v>631</v>
      </c>
      <c r="D118" t="s">
        <v>632</v>
      </c>
      <c r="E118" s="3">
        <v>8080000</v>
      </c>
      <c r="F118" t="s">
        <v>633</v>
      </c>
      <c r="G118" t="s">
        <v>634</v>
      </c>
    </row>
    <row r="119" spans="1:7">
      <c r="A119" t="s">
        <v>635</v>
      </c>
      <c r="B119" t="s">
        <v>636</v>
      </c>
      <c r="C119" t="s">
        <v>637</v>
      </c>
      <c r="D119" t="s">
        <v>92</v>
      </c>
      <c r="E119" s="3">
        <v>8070000</v>
      </c>
      <c r="F119" t="s">
        <v>638</v>
      </c>
      <c r="G119" t="s">
        <v>639</v>
      </c>
    </row>
    <row r="120" spans="1:7">
      <c r="A120" t="s">
        <v>640</v>
      </c>
      <c r="B120" t="s">
        <v>641</v>
      </c>
      <c r="C120" t="s">
        <v>642</v>
      </c>
      <c r="D120" t="s">
        <v>643</v>
      </c>
      <c r="E120" s="3">
        <v>8060000.0000000009</v>
      </c>
      <c r="F120" t="s">
        <v>644</v>
      </c>
      <c r="G120" t="s">
        <v>645</v>
      </c>
    </row>
    <row r="121" spans="1:7">
      <c r="A121" t="s">
        <v>646</v>
      </c>
      <c r="B121" t="s">
        <v>647</v>
      </c>
      <c r="C121" t="s">
        <v>648</v>
      </c>
      <c r="D121" t="s">
        <v>649</v>
      </c>
      <c r="E121" s="3">
        <v>8050000.0000000009</v>
      </c>
      <c r="F121" t="s">
        <v>650</v>
      </c>
      <c r="G121" t="s">
        <v>651</v>
      </c>
    </row>
    <row r="122" spans="1:7">
      <c r="A122" t="s">
        <v>652</v>
      </c>
      <c r="B122" t="s">
        <v>653</v>
      </c>
      <c r="C122" t="s">
        <v>654</v>
      </c>
      <c r="D122" t="s">
        <v>98</v>
      </c>
      <c r="E122" s="3">
        <v>6090000</v>
      </c>
      <c r="F122" t="s">
        <v>655</v>
      </c>
      <c r="G122" t="s">
        <v>656</v>
      </c>
    </row>
    <row r="123" spans="1:7">
      <c r="A123" t="s">
        <v>657</v>
      </c>
      <c r="B123" t="s">
        <v>658</v>
      </c>
      <c r="C123" t="s">
        <v>659</v>
      </c>
      <c r="D123" t="s">
        <v>33</v>
      </c>
      <c r="E123" s="3">
        <v>6090000</v>
      </c>
      <c r="F123" t="s">
        <v>660</v>
      </c>
      <c r="G123" t="s">
        <v>661</v>
      </c>
    </row>
    <row r="124" spans="1:7">
      <c r="A124" t="s">
        <v>662</v>
      </c>
      <c r="B124" t="s">
        <v>663</v>
      </c>
      <c r="C124" t="s">
        <v>664</v>
      </c>
      <c r="D124" t="s">
        <v>33</v>
      </c>
      <c r="E124" s="3">
        <v>6090000</v>
      </c>
      <c r="F124" t="s">
        <v>665</v>
      </c>
      <c r="G124" t="s">
        <v>666</v>
      </c>
    </row>
    <row r="125" spans="1:7">
      <c r="A125" t="s">
        <v>667</v>
      </c>
      <c r="B125" t="s">
        <v>668</v>
      </c>
      <c r="C125" t="s">
        <v>669</v>
      </c>
      <c r="D125" t="s">
        <v>670</v>
      </c>
      <c r="E125" s="3">
        <v>6090000</v>
      </c>
      <c r="F125" t="s">
        <v>671</v>
      </c>
      <c r="G125" t="s">
        <v>672</v>
      </c>
    </row>
    <row r="126" spans="1:7">
      <c r="A126" t="s">
        <v>673</v>
      </c>
      <c r="B126" t="s">
        <v>674</v>
      </c>
      <c r="C126" t="s">
        <v>675</v>
      </c>
      <c r="D126" t="s">
        <v>676</v>
      </c>
      <c r="E126" s="3">
        <v>6080000</v>
      </c>
      <c r="F126" t="s">
        <v>677</v>
      </c>
      <c r="G126" t="s">
        <v>678</v>
      </c>
    </row>
    <row r="127" spans="1:7">
      <c r="A127" t="s">
        <v>679</v>
      </c>
      <c r="B127" t="s">
        <v>680</v>
      </c>
      <c r="C127" t="s">
        <v>681</v>
      </c>
      <c r="D127" t="s">
        <v>682</v>
      </c>
      <c r="E127" s="3">
        <v>6060000</v>
      </c>
      <c r="F127" t="s">
        <v>683</v>
      </c>
      <c r="G127" t="s">
        <v>684</v>
      </c>
    </row>
    <row r="128" spans="1:7">
      <c r="A128" t="s">
        <v>685</v>
      </c>
      <c r="B128" t="s">
        <v>686</v>
      </c>
      <c r="C128" t="s">
        <v>687</v>
      </c>
      <c r="D128" t="s">
        <v>688</v>
      </c>
      <c r="E128" s="3">
        <v>6040000</v>
      </c>
      <c r="F128" t="s">
        <v>689</v>
      </c>
      <c r="G128" t="s">
        <v>690</v>
      </c>
    </row>
    <row r="129" spans="1:7">
      <c r="A129" t="s">
        <v>691</v>
      </c>
      <c r="B129" t="s">
        <v>691</v>
      </c>
      <c r="C129" t="s">
        <v>692</v>
      </c>
      <c r="D129" t="s">
        <v>133</v>
      </c>
      <c r="E129" s="3">
        <v>6010000</v>
      </c>
      <c r="F129" t="s">
        <v>693</v>
      </c>
      <c r="G129" t="s">
        <v>694</v>
      </c>
    </row>
    <row r="130" spans="1:7">
      <c r="A130" t="s">
        <v>695</v>
      </c>
      <c r="B130" t="s">
        <v>696</v>
      </c>
      <c r="C130" t="s">
        <v>697</v>
      </c>
      <c r="D130" t="s">
        <v>42</v>
      </c>
      <c r="E130" s="3">
        <v>5990000</v>
      </c>
      <c r="F130" t="s">
        <v>698</v>
      </c>
      <c r="G130" t="s">
        <v>699</v>
      </c>
    </row>
    <row r="131" spans="1:7">
      <c r="A131" t="s">
        <v>700</v>
      </c>
      <c r="B131" t="s">
        <v>701</v>
      </c>
      <c r="C131" t="s">
        <v>702</v>
      </c>
      <c r="D131" t="s">
        <v>176</v>
      </c>
      <c r="E131" s="3">
        <v>5960000</v>
      </c>
      <c r="F131" t="s">
        <v>703</v>
      </c>
      <c r="G131" t="s">
        <v>704</v>
      </c>
    </row>
    <row r="132" spans="1:7">
      <c r="A132" t="s">
        <v>705</v>
      </c>
      <c r="B132" t="s">
        <v>706</v>
      </c>
      <c r="C132" t="s">
        <v>707</v>
      </c>
      <c r="D132" t="s">
        <v>708</v>
      </c>
      <c r="E132" s="3">
        <v>4700000</v>
      </c>
      <c r="F132" t="s">
        <v>709</v>
      </c>
      <c r="G132" t="s">
        <v>710</v>
      </c>
    </row>
    <row r="133" spans="1:7">
      <c r="A133" t="s">
        <v>711</v>
      </c>
      <c r="B133" t="s">
        <v>712</v>
      </c>
      <c r="C133" t="s">
        <v>713</v>
      </c>
      <c r="D133" t="s">
        <v>176</v>
      </c>
      <c r="E133" s="3">
        <v>4630000</v>
      </c>
      <c r="F133" t="s">
        <v>714</v>
      </c>
      <c r="G133" t="s">
        <v>715</v>
      </c>
    </row>
    <row r="134" spans="1:7">
      <c r="A134" t="s">
        <v>716</v>
      </c>
      <c r="B134" t="s">
        <v>717</v>
      </c>
      <c r="C134" t="s">
        <v>718</v>
      </c>
      <c r="D134" t="s">
        <v>501</v>
      </c>
      <c r="E134" s="3">
        <v>4630000</v>
      </c>
      <c r="F134" t="s">
        <v>719</v>
      </c>
      <c r="G134" t="s">
        <v>88</v>
      </c>
    </row>
    <row r="135" spans="1:7">
      <c r="A135" t="s">
        <v>720</v>
      </c>
      <c r="B135" t="s">
        <v>721</v>
      </c>
      <c r="C135" t="s">
        <v>722</v>
      </c>
      <c r="D135" t="s">
        <v>723</v>
      </c>
      <c r="E135" s="3">
        <v>4620000</v>
      </c>
      <c r="F135" t="s">
        <v>724</v>
      </c>
      <c r="G135" t="s">
        <v>725</v>
      </c>
    </row>
    <row r="136" spans="1:7">
      <c r="A136" t="s">
        <v>726</v>
      </c>
      <c r="B136" t="s">
        <v>727</v>
      </c>
      <c r="C136" t="s">
        <v>728</v>
      </c>
      <c r="D136" t="s">
        <v>331</v>
      </c>
      <c r="E136" s="3">
        <v>4610000</v>
      </c>
      <c r="F136" t="s">
        <v>729</v>
      </c>
      <c r="G136" t="s">
        <v>730</v>
      </c>
    </row>
    <row r="137" spans="1:7">
      <c r="A137" t="s">
        <v>731</v>
      </c>
      <c r="B137" t="s">
        <v>732</v>
      </c>
      <c r="C137" t="s">
        <v>733</v>
      </c>
      <c r="D137" t="s">
        <v>182</v>
      </c>
      <c r="E137" s="3">
        <v>4600000</v>
      </c>
      <c r="F137" t="s">
        <v>734</v>
      </c>
      <c r="G137" t="s">
        <v>735</v>
      </c>
    </row>
    <row r="138" spans="1:7">
      <c r="A138" t="s">
        <v>736</v>
      </c>
      <c r="B138" t="s">
        <v>737</v>
      </c>
      <c r="C138" t="s">
        <v>738</v>
      </c>
      <c r="D138" t="s">
        <v>170</v>
      </c>
      <c r="E138" s="3">
        <v>4580000</v>
      </c>
      <c r="F138" t="s">
        <v>739</v>
      </c>
      <c r="G138" t="s">
        <v>740</v>
      </c>
    </row>
    <row r="139" spans="1:7">
      <c r="A139" t="s">
        <v>741</v>
      </c>
      <c r="B139" t="s">
        <v>742</v>
      </c>
      <c r="C139" t="s">
        <v>743</v>
      </c>
      <c r="D139" t="s">
        <v>204</v>
      </c>
      <c r="E139" s="3">
        <v>4570000</v>
      </c>
      <c r="F139" t="s">
        <v>744</v>
      </c>
      <c r="G139" t="s">
        <v>745</v>
      </c>
    </row>
    <row r="140" spans="1:7">
      <c r="A140" t="s">
        <v>746</v>
      </c>
      <c r="B140" t="s">
        <v>747</v>
      </c>
      <c r="C140" t="s">
        <v>748</v>
      </c>
      <c r="D140" t="s">
        <v>708</v>
      </c>
      <c r="E140" s="3">
        <v>4520000</v>
      </c>
      <c r="F140" t="s">
        <v>749</v>
      </c>
      <c r="G140" t="s">
        <v>750</v>
      </c>
    </row>
    <row r="141" spans="1:7">
      <c r="A141" t="s">
        <v>751</v>
      </c>
      <c r="B141" t="s">
        <v>752</v>
      </c>
      <c r="C141" t="s">
        <v>753</v>
      </c>
      <c r="D141" t="s">
        <v>459</v>
      </c>
      <c r="E141" s="3">
        <v>4520000</v>
      </c>
      <c r="F141" t="s">
        <v>754</v>
      </c>
      <c r="G141" t="s">
        <v>755</v>
      </c>
    </row>
    <row r="142" spans="1:7">
      <c r="A142" t="s">
        <v>756</v>
      </c>
      <c r="B142" t="s">
        <v>757</v>
      </c>
      <c r="C142" t="s">
        <v>758</v>
      </c>
      <c r="D142" t="s">
        <v>242</v>
      </c>
      <c r="E142" s="3">
        <v>3510000</v>
      </c>
      <c r="F142" t="s">
        <v>759</v>
      </c>
      <c r="G142" t="s">
        <v>760</v>
      </c>
    </row>
    <row r="143" spans="1:7">
      <c r="A143" t="s">
        <v>761</v>
      </c>
      <c r="B143" t="s">
        <v>762</v>
      </c>
      <c r="C143" t="s">
        <v>763</v>
      </c>
      <c r="D143" t="s">
        <v>28</v>
      </c>
      <c r="E143" s="3">
        <v>3500000</v>
      </c>
      <c r="F143" t="s">
        <v>764</v>
      </c>
      <c r="G143" t="s">
        <v>765</v>
      </c>
    </row>
    <row r="144" spans="1:7">
      <c r="A144" t="s">
        <v>766</v>
      </c>
      <c r="B144" t="s">
        <v>767</v>
      </c>
      <c r="C144" t="s">
        <v>768</v>
      </c>
      <c r="D144" t="s">
        <v>769</v>
      </c>
      <c r="E144" s="3">
        <v>3500000</v>
      </c>
      <c r="F144" t="s">
        <v>770</v>
      </c>
      <c r="G144" t="s">
        <v>771</v>
      </c>
    </row>
    <row r="145" spans="1:7">
      <c r="A145" t="s">
        <v>772</v>
      </c>
      <c r="B145" t="s">
        <v>773</v>
      </c>
      <c r="C145" t="s">
        <v>774</v>
      </c>
      <c r="D145" t="s">
        <v>10</v>
      </c>
      <c r="E145" s="3">
        <v>3480000</v>
      </c>
      <c r="F145" t="s">
        <v>775</v>
      </c>
      <c r="G145" t="s">
        <v>776</v>
      </c>
    </row>
    <row r="146" spans="1:7">
      <c r="A146" t="s">
        <v>777</v>
      </c>
      <c r="B146" t="s">
        <v>778</v>
      </c>
      <c r="C146" t="s">
        <v>779</v>
      </c>
      <c r="D146" t="s">
        <v>780</v>
      </c>
      <c r="E146" s="3">
        <v>3460000</v>
      </c>
      <c r="F146" t="s">
        <v>781</v>
      </c>
      <c r="G146" t="s">
        <v>782</v>
      </c>
    </row>
    <row r="147" spans="1:7">
      <c r="A147" t="s">
        <v>783</v>
      </c>
      <c r="B147" t="s">
        <v>784</v>
      </c>
      <c r="C147" t="s">
        <v>785</v>
      </c>
      <c r="D147" t="s">
        <v>76</v>
      </c>
      <c r="E147" s="3">
        <v>3460000</v>
      </c>
      <c r="F147" t="s">
        <v>786</v>
      </c>
      <c r="G147" t="s">
        <v>787</v>
      </c>
    </row>
    <row r="148" spans="1:7">
      <c r="A148" t="s">
        <v>788</v>
      </c>
      <c r="B148" t="s">
        <v>789</v>
      </c>
      <c r="C148" t="s">
        <v>790</v>
      </c>
      <c r="D148" t="s">
        <v>42</v>
      </c>
      <c r="E148" s="3">
        <v>3440000</v>
      </c>
      <c r="F148" t="s">
        <v>791</v>
      </c>
      <c r="G148" t="s">
        <v>792</v>
      </c>
    </row>
    <row r="149" spans="1:7">
      <c r="A149" t="s">
        <v>793</v>
      </c>
      <c r="B149" t="s">
        <v>794</v>
      </c>
      <c r="C149" t="s">
        <v>795</v>
      </c>
      <c r="D149" t="s">
        <v>28</v>
      </c>
      <c r="E149" s="3">
        <v>3440000</v>
      </c>
      <c r="F149" t="s">
        <v>796</v>
      </c>
      <c r="G149" t="s">
        <v>797</v>
      </c>
    </row>
    <row r="150" spans="1:7">
      <c r="A150" t="s">
        <v>798</v>
      </c>
      <c r="B150" t="s">
        <v>799</v>
      </c>
      <c r="C150" t="s">
        <v>800</v>
      </c>
      <c r="D150" t="s">
        <v>10</v>
      </c>
      <c r="E150" s="3">
        <v>3430000</v>
      </c>
      <c r="F150" t="s">
        <v>801</v>
      </c>
      <c r="G150" t="s">
        <v>802</v>
      </c>
    </row>
    <row r="151" spans="1:7">
      <c r="A151" t="s">
        <v>803</v>
      </c>
      <c r="B151" t="s">
        <v>804</v>
      </c>
      <c r="C151" t="s">
        <v>805</v>
      </c>
      <c r="D151" t="s">
        <v>806</v>
      </c>
      <c r="E151" s="3">
        <v>3410000</v>
      </c>
      <c r="F151" t="s">
        <v>807</v>
      </c>
      <c r="G151" t="s">
        <v>808</v>
      </c>
    </row>
    <row r="152" spans="1:7">
      <c r="A152" t="s">
        <v>809</v>
      </c>
      <c r="B152" t="s">
        <v>810</v>
      </c>
      <c r="C152" t="s">
        <v>811</v>
      </c>
      <c r="D152" t="s">
        <v>812</v>
      </c>
      <c r="E152" s="3">
        <v>2780000</v>
      </c>
      <c r="F152" t="s">
        <v>813</v>
      </c>
      <c r="G152" t="s">
        <v>814</v>
      </c>
    </row>
    <row r="153" spans="1:7">
      <c r="A153" t="s">
        <v>815</v>
      </c>
      <c r="B153" t="s">
        <v>816</v>
      </c>
      <c r="C153" t="s">
        <v>817</v>
      </c>
      <c r="D153" t="s">
        <v>818</v>
      </c>
      <c r="E153" s="3">
        <v>2780000</v>
      </c>
      <c r="F153" t="s">
        <v>819</v>
      </c>
      <c r="G153" t="s">
        <v>820</v>
      </c>
    </row>
    <row r="154" spans="1:7">
      <c r="A154" t="s">
        <v>821</v>
      </c>
      <c r="B154" t="s">
        <v>822</v>
      </c>
      <c r="C154" t="s">
        <v>823</v>
      </c>
      <c r="D154" t="s">
        <v>65</v>
      </c>
      <c r="E154" s="3">
        <v>2760000</v>
      </c>
      <c r="F154" t="s">
        <v>824</v>
      </c>
      <c r="G154" t="s">
        <v>825</v>
      </c>
    </row>
    <row r="155" spans="1:7">
      <c r="A155" t="s">
        <v>826</v>
      </c>
      <c r="B155" t="s">
        <v>826</v>
      </c>
      <c r="C155" t="s">
        <v>827</v>
      </c>
      <c r="D155" t="s">
        <v>459</v>
      </c>
      <c r="E155" s="3">
        <v>2760000</v>
      </c>
      <c r="F155" t="s">
        <v>828</v>
      </c>
      <c r="G155" t="s">
        <v>829</v>
      </c>
    </row>
    <row r="156" spans="1:7">
      <c r="A156" t="s">
        <v>830</v>
      </c>
      <c r="B156" t="s">
        <v>831</v>
      </c>
      <c r="C156" t="s">
        <v>832</v>
      </c>
      <c r="D156" t="s">
        <v>65</v>
      </c>
      <c r="E156" s="3">
        <v>2760000</v>
      </c>
      <c r="F156" t="s">
        <v>833</v>
      </c>
      <c r="G156" t="s">
        <v>834</v>
      </c>
    </row>
    <row r="157" spans="1:7">
      <c r="A157" t="s">
        <v>835</v>
      </c>
      <c r="B157" t="s">
        <v>836</v>
      </c>
      <c r="C157" t="s">
        <v>837</v>
      </c>
      <c r="D157" t="s">
        <v>59</v>
      </c>
      <c r="E157" s="3">
        <v>2760000</v>
      </c>
      <c r="F157" t="s">
        <v>838</v>
      </c>
      <c r="G157" t="s">
        <v>839</v>
      </c>
    </row>
    <row r="158" spans="1:7">
      <c r="A158" t="s">
        <v>840</v>
      </c>
      <c r="B158" t="s">
        <v>841</v>
      </c>
      <c r="C158" t="s">
        <v>842</v>
      </c>
      <c r="D158" t="s">
        <v>843</v>
      </c>
      <c r="E158" s="3">
        <v>2760000</v>
      </c>
      <c r="F158" t="s">
        <v>844</v>
      </c>
      <c r="G158" t="s">
        <v>845</v>
      </c>
    </row>
    <row r="159" spans="1:7">
      <c r="A159" t="s">
        <v>846</v>
      </c>
      <c r="B159" t="s">
        <v>847</v>
      </c>
      <c r="C159" t="s">
        <v>848</v>
      </c>
      <c r="D159" t="s">
        <v>849</v>
      </c>
      <c r="E159" s="3">
        <v>2750000</v>
      </c>
      <c r="F159" t="s">
        <v>850</v>
      </c>
      <c r="G159" t="s">
        <v>851</v>
      </c>
    </row>
    <row r="160" spans="1:7">
      <c r="A160" t="s">
        <v>852</v>
      </c>
      <c r="B160" t="s">
        <v>853</v>
      </c>
      <c r="C160" t="s">
        <v>854</v>
      </c>
      <c r="D160" t="s">
        <v>780</v>
      </c>
      <c r="E160" s="3">
        <v>2740000</v>
      </c>
      <c r="F160" t="s">
        <v>855</v>
      </c>
      <c r="G160" t="s">
        <v>856</v>
      </c>
    </row>
    <row r="161" spans="1:7">
      <c r="A161" t="s">
        <v>857</v>
      </c>
      <c r="B161" t="s">
        <v>858</v>
      </c>
      <c r="C161" t="s">
        <v>859</v>
      </c>
      <c r="D161" t="s">
        <v>65</v>
      </c>
      <c r="E161" s="3">
        <v>2740000</v>
      </c>
      <c r="F161" t="s">
        <v>860</v>
      </c>
      <c r="G161" t="s">
        <v>861</v>
      </c>
    </row>
    <row r="162" spans="1:7">
      <c r="A162" t="s">
        <v>862</v>
      </c>
      <c r="B162" t="s">
        <v>863</v>
      </c>
      <c r="C162" t="s">
        <v>864</v>
      </c>
      <c r="D162" t="s">
        <v>76</v>
      </c>
      <c r="E162" s="3">
        <v>2240000</v>
      </c>
      <c r="F162" t="s">
        <v>865</v>
      </c>
      <c r="G162" t="s">
        <v>866</v>
      </c>
    </row>
    <row r="163" spans="1:7">
      <c r="A163" t="s">
        <v>867</v>
      </c>
      <c r="B163" t="s">
        <v>868</v>
      </c>
      <c r="C163" t="s">
        <v>869</v>
      </c>
      <c r="D163" t="s">
        <v>242</v>
      </c>
      <c r="E163" s="3">
        <v>2240000</v>
      </c>
      <c r="F163" t="s">
        <v>870</v>
      </c>
      <c r="G163" t="s">
        <v>871</v>
      </c>
    </row>
    <row r="164" spans="1:7">
      <c r="A164" t="s">
        <v>872</v>
      </c>
      <c r="B164" t="s">
        <v>873</v>
      </c>
      <c r="C164" t="s">
        <v>874</v>
      </c>
      <c r="D164" t="s">
        <v>28</v>
      </c>
      <c r="E164" s="3">
        <v>2240000</v>
      </c>
      <c r="F164" t="s">
        <v>875</v>
      </c>
      <c r="G164" t="s">
        <v>876</v>
      </c>
    </row>
    <row r="165" spans="1:7">
      <c r="A165" t="s">
        <v>877</v>
      </c>
      <c r="B165" t="s">
        <v>877</v>
      </c>
      <c r="C165" t="s">
        <v>878</v>
      </c>
      <c r="D165" t="s">
        <v>10</v>
      </c>
      <c r="E165" s="3">
        <v>2230000</v>
      </c>
      <c r="F165" t="s">
        <v>879</v>
      </c>
      <c r="G165" t="s">
        <v>880</v>
      </c>
    </row>
    <row r="166" spans="1:7">
      <c r="A166" t="s">
        <v>881</v>
      </c>
      <c r="B166" t="s">
        <v>882</v>
      </c>
      <c r="C166" t="s">
        <v>883</v>
      </c>
      <c r="D166" t="s">
        <v>285</v>
      </c>
      <c r="E166" s="3">
        <v>2220000</v>
      </c>
      <c r="F166" t="s">
        <v>884</v>
      </c>
      <c r="G166" t="s">
        <v>885</v>
      </c>
    </row>
    <row r="167" spans="1:7">
      <c r="A167" t="s">
        <v>886</v>
      </c>
      <c r="B167" t="s">
        <v>887</v>
      </c>
      <c r="C167" t="s">
        <v>888</v>
      </c>
      <c r="D167" t="s">
        <v>28</v>
      </c>
      <c r="E167" s="3">
        <v>2220000</v>
      </c>
      <c r="F167" t="s">
        <v>889</v>
      </c>
      <c r="G167" t="s">
        <v>890</v>
      </c>
    </row>
    <row r="168" spans="1:7">
      <c r="A168" t="s">
        <v>891</v>
      </c>
      <c r="B168" t="s">
        <v>892</v>
      </c>
      <c r="C168" t="s">
        <v>893</v>
      </c>
      <c r="D168" t="s">
        <v>123</v>
      </c>
      <c r="E168" s="3">
        <v>2210000</v>
      </c>
      <c r="F168" t="s">
        <v>894</v>
      </c>
      <c r="G168" t="s">
        <v>895</v>
      </c>
    </row>
    <row r="169" spans="1:7">
      <c r="A169" t="s">
        <v>896</v>
      </c>
      <c r="B169" t="s">
        <v>897</v>
      </c>
      <c r="C169" t="s">
        <v>898</v>
      </c>
      <c r="D169" t="s">
        <v>899</v>
      </c>
      <c r="E169" s="3">
        <v>2200000</v>
      </c>
      <c r="F169" t="s">
        <v>900</v>
      </c>
      <c r="G169" t="s">
        <v>901</v>
      </c>
    </row>
    <row r="170" spans="1:7">
      <c r="A170" t="s">
        <v>902</v>
      </c>
      <c r="B170" t="s">
        <v>903</v>
      </c>
      <c r="C170" t="s">
        <v>904</v>
      </c>
      <c r="D170" t="s">
        <v>905</v>
      </c>
      <c r="E170" s="3">
        <v>2200000</v>
      </c>
      <c r="F170" t="s">
        <v>906</v>
      </c>
      <c r="G170" t="s">
        <v>907</v>
      </c>
    </row>
    <row r="171" spans="1:7">
      <c r="A171" t="s">
        <v>908</v>
      </c>
      <c r="B171" t="s">
        <v>909</v>
      </c>
      <c r="C171" t="s">
        <v>910</v>
      </c>
      <c r="D171" t="s">
        <v>911</v>
      </c>
      <c r="E171" s="3">
        <v>2190000</v>
      </c>
      <c r="F171" t="s">
        <v>912</v>
      </c>
      <c r="G171" t="s">
        <v>913</v>
      </c>
    </row>
    <row r="172" spans="1:7">
      <c r="A172" t="s">
        <v>914</v>
      </c>
      <c r="B172" t="s">
        <v>915</v>
      </c>
      <c r="C172" t="s">
        <v>916</v>
      </c>
      <c r="D172" t="s">
        <v>917</v>
      </c>
      <c r="E172" s="3">
        <v>1800000</v>
      </c>
      <c r="F172" t="s">
        <v>918</v>
      </c>
      <c r="G172" t="s">
        <v>919</v>
      </c>
    </row>
    <row r="173" spans="1:7">
      <c r="A173" t="s">
        <v>920</v>
      </c>
      <c r="B173" t="s">
        <v>921</v>
      </c>
      <c r="C173" t="s">
        <v>922</v>
      </c>
      <c r="D173" t="s">
        <v>16</v>
      </c>
      <c r="E173" s="3">
        <v>1790000</v>
      </c>
      <c r="F173" t="s">
        <v>923</v>
      </c>
      <c r="G173" t="s">
        <v>924</v>
      </c>
    </row>
    <row r="174" spans="1:7">
      <c r="A174" t="s">
        <v>925</v>
      </c>
      <c r="B174" t="s">
        <v>926</v>
      </c>
      <c r="C174" t="s">
        <v>927</v>
      </c>
      <c r="D174" t="s">
        <v>76</v>
      </c>
      <c r="E174" s="3">
        <v>1790000</v>
      </c>
      <c r="F174" t="s">
        <v>928</v>
      </c>
      <c r="G174" t="s">
        <v>238</v>
      </c>
    </row>
    <row r="175" spans="1:7">
      <c r="A175" t="s">
        <v>929</v>
      </c>
      <c r="B175" t="s">
        <v>930</v>
      </c>
      <c r="C175" t="s">
        <v>931</v>
      </c>
      <c r="D175" t="s">
        <v>688</v>
      </c>
      <c r="E175" s="3">
        <v>1790000</v>
      </c>
      <c r="F175" t="s">
        <v>932</v>
      </c>
      <c r="G175" t="s">
        <v>88</v>
      </c>
    </row>
    <row r="176" spans="1:7">
      <c r="A176" t="s">
        <v>933</v>
      </c>
      <c r="B176" t="s">
        <v>934</v>
      </c>
      <c r="C176" t="s">
        <v>935</v>
      </c>
      <c r="D176" t="s">
        <v>936</v>
      </c>
      <c r="E176" s="3">
        <v>1790000</v>
      </c>
      <c r="F176" t="s">
        <v>937</v>
      </c>
      <c r="G176" t="s">
        <v>938</v>
      </c>
    </row>
    <row r="177" spans="1:7">
      <c r="A177" t="s">
        <v>939</v>
      </c>
      <c r="B177" t="s">
        <v>940</v>
      </c>
      <c r="C177" t="s">
        <v>941</v>
      </c>
      <c r="D177" t="s">
        <v>942</v>
      </c>
      <c r="E177" s="3">
        <v>1790000</v>
      </c>
      <c r="F177" t="s">
        <v>943</v>
      </c>
      <c r="G177" t="s">
        <v>944</v>
      </c>
    </row>
    <row r="178" spans="1:7">
      <c r="A178" t="s">
        <v>945</v>
      </c>
      <c r="B178" t="s">
        <v>946</v>
      </c>
      <c r="C178" t="s">
        <v>947</v>
      </c>
      <c r="D178" t="s">
        <v>948</v>
      </c>
      <c r="E178" s="3">
        <v>1790000</v>
      </c>
      <c r="F178" t="s">
        <v>949</v>
      </c>
      <c r="G178" t="s">
        <v>950</v>
      </c>
    </row>
    <row r="179" spans="1:7">
      <c r="A179" t="s">
        <v>951</v>
      </c>
      <c r="B179" t="s">
        <v>952</v>
      </c>
      <c r="C179" t="s">
        <v>953</v>
      </c>
      <c r="D179" t="s">
        <v>76</v>
      </c>
      <c r="E179" s="3">
        <v>1780000</v>
      </c>
      <c r="F179" t="s">
        <v>954</v>
      </c>
      <c r="G179" t="s">
        <v>955</v>
      </c>
    </row>
    <row r="180" spans="1:7">
      <c r="A180" t="s">
        <v>956</v>
      </c>
      <c r="B180" t="s">
        <v>957</v>
      </c>
      <c r="C180" t="s">
        <v>958</v>
      </c>
      <c r="D180" t="s">
        <v>65</v>
      </c>
      <c r="E180" s="3">
        <v>1780000</v>
      </c>
      <c r="F180" t="s">
        <v>959</v>
      </c>
      <c r="G180" t="s">
        <v>645</v>
      </c>
    </row>
    <row r="181" spans="1:7">
      <c r="A181" t="s">
        <v>960</v>
      </c>
      <c r="B181" t="s">
        <v>961</v>
      </c>
      <c r="C181" t="s">
        <v>962</v>
      </c>
      <c r="D181" t="s">
        <v>688</v>
      </c>
      <c r="E181" s="3">
        <v>1770000</v>
      </c>
      <c r="F181" t="s">
        <v>963</v>
      </c>
      <c r="G181" t="s">
        <v>964</v>
      </c>
    </row>
    <row r="182" spans="1:7">
      <c r="A182" t="s">
        <v>965</v>
      </c>
      <c r="B182" t="s">
        <v>966</v>
      </c>
      <c r="C182" t="s">
        <v>967</v>
      </c>
      <c r="D182" t="s">
        <v>780</v>
      </c>
      <c r="E182" s="3">
        <v>1440000</v>
      </c>
      <c r="F182" t="s">
        <v>968</v>
      </c>
      <c r="G182" t="s">
        <v>969</v>
      </c>
    </row>
    <row r="183" spans="1:7">
      <c r="A183" t="s">
        <v>970</v>
      </c>
      <c r="B183" t="s">
        <v>971</v>
      </c>
      <c r="C183" t="s">
        <v>972</v>
      </c>
      <c r="D183" t="s">
        <v>28</v>
      </c>
      <c r="E183" s="3">
        <v>1430000</v>
      </c>
      <c r="F183" t="s">
        <v>973</v>
      </c>
      <c r="G183" t="s">
        <v>974</v>
      </c>
    </row>
    <row r="184" spans="1:7">
      <c r="A184" t="s">
        <v>975</v>
      </c>
      <c r="B184" t="s">
        <v>976</v>
      </c>
      <c r="C184" t="s">
        <v>977</v>
      </c>
      <c r="D184" t="s">
        <v>978</v>
      </c>
      <c r="E184" s="3">
        <v>1420000</v>
      </c>
      <c r="F184" t="s">
        <v>979</v>
      </c>
      <c r="G184" t="s">
        <v>980</v>
      </c>
    </row>
    <row r="185" spans="1:7">
      <c r="A185" t="s">
        <v>981</v>
      </c>
      <c r="B185" t="s">
        <v>982</v>
      </c>
      <c r="C185" t="s">
        <v>983</v>
      </c>
      <c r="D185" t="s">
        <v>42</v>
      </c>
      <c r="E185" s="3">
        <v>1420000</v>
      </c>
      <c r="F185" t="s">
        <v>984</v>
      </c>
      <c r="G185" t="s">
        <v>985</v>
      </c>
    </row>
    <row r="186" spans="1:7">
      <c r="A186" t="s">
        <v>986</v>
      </c>
      <c r="B186" t="s">
        <v>987</v>
      </c>
      <c r="C186" t="s">
        <v>988</v>
      </c>
      <c r="D186" t="s">
        <v>48</v>
      </c>
      <c r="E186" s="3">
        <v>1420000</v>
      </c>
      <c r="F186" t="s">
        <v>989</v>
      </c>
      <c r="G186" t="s">
        <v>228</v>
      </c>
    </row>
    <row r="187" spans="1:7">
      <c r="A187" t="s">
        <v>990</v>
      </c>
      <c r="B187" t="s">
        <v>991</v>
      </c>
      <c r="C187" t="s">
        <v>992</v>
      </c>
      <c r="D187" t="s">
        <v>993</v>
      </c>
      <c r="E187" s="3">
        <v>1420000</v>
      </c>
      <c r="F187" t="s">
        <v>994</v>
      </c>
      <c r="G187" t="s">
        <v>995</v>
      </c>
    </row>
    <row r="188" spans="1:7">
      <c r="A188" t="s">
        <v>996</v>
      </c>
      <c r="B188" t="s">
        <v>997</v>
      </c>
      <c r="C188" t="s">
        <v>998</v>
      </c>
      <c r="D188" t="s">
        <v>999</v>
      </c>
      <c r="E188" s="3">
        <v>1420000</v>
      </c>
      <c r="F188" t="s">
        <v>1000</v>
      </c>
      <c r="G188" t="s">
        <v>1001</v>
      </c>
    </row>
    <row r="189" spans="1:7">
      <c r="A189" t="s">
        <v>1002</v>
      </c>
      <c r="B189" t="s">
        <v>1003</v>
      </c>
      <c r="C189" t="s">
        <v>1004</v>
      </c>
      <c r="D189" t="s">
        <v>144</v>
      </c>
      <c r="E189" s="3">
        <v>1420000</v>
      </c>
      <c r="F189" t="s">
        <v>1005</v>
      </c>
      <c r="G189" t="s">
        <v>1006</v>
      </c>
    </row>
    <row r="190" spans="1:7">
      <c r="A190" t="s">
        <v>1007</v>
      </c>
      <c r="B190" t="s">
        <v>1007</v>
      </c>
      <c r="C190" t="s">
        <v>1008</v>
      </c>
      <c r="D190" t="s">
        <v>170</v>
      </c>
      <c r="E190" s="3">
        <v>1420000</v>
      </c>
      <c r="F190" t="s">
        <v>1009</v>
      </c>
      <c r="G190" t="s">
        <v>1010</v>
      </c>
    </row>
    <row r="191" spans="1:7">
      <c r="A191" t="s">
        <v>1011</v>
      </c>
      <c r="B191" t="s">
        <v>1012</v>
      </c>
      <c r="C191" t="s">
        <v>1013</v>
      </c>
      <c r="D191" t="s">
        <v>1014</v>
      </c>
      <c r="E191" s="3">
        <v>1420000</v>
      </c>
      <c r="F191" t="s">
        <v>1015</v>
      </c>
      <c r="G191" t="s">
        <v>1016</v>
      </c>
    </row>
    <row r="192" spans="1:7">
      <c r="A192" t="s">
        <v>1017</v>
      </c>
      <c r="B192" t="s">
        <v>1018</v>
      </c>
      <c r="C192" t="s">
        <v>1019</v>
      </c>
      <c r="D192" t="s">
        <v>268</v>
      </c>
      <c r="E192" s="3">
        <v>1190000</v>
      </c>
      <c r="F192" t="s">
        <v>1020</v>
      </c>
      <c r="G192" t="s">
        <v>1021</v>
      </c>
    </row>
    <row r="193" spans="1:7">
      <c r="A193" t="s">
        <v>1022</v>
      </c>
      <c r="B193" t="s">
        <v>1023</v>
      </c>
      <c r="C193" t="s">
        <v>441</v>
      </c>
      <c r="D193" t="s">
        <v>1024</v>
      </c>
      <c r="E193" s="3">
        <v>1190000</v>
      </c>
      <c r="F193" t="s">
        <v>1025</v>
      </c>
      <c r="G193" t="s">
        <v>1026</v>
      </c>
    </row>
    <row r="194" spans="1:7">
      <c r="A194" t="s">
        <v>1027</v>
      </c>
      <c r="B194" t="s">
        <v>1028</v>
      </c>
      <c r="C194" t="s">
        <v>1029</v>
      </c>
      <c r="D194" t="s">
        <v>1030</v>
      </c>
      <c r="E194" s="3">
        <v>1180000</v>
      </c>
      <c r="F194" t="s">
        <v>1031</v>
      </c>
      <c r="G194" t="s">
        <v>1032</v>
      </c>
    </row>
    <row r="195" spans="1:7">
      <c r="A195" t="s">
        <v>1033</v>
      </c>
      <c r="B195" t="s">
        <v>1033</v>
      </c>
      <c r="C195" t="s">
        <v>1034</v>
      </c>
      <c r="D195" t="s">
        <v>780</v>
      </c>
      <c r="E195" s="3">
        <v>1180000</v>
      </c>
      <c r="F195" t="s">
        <v>1035</v>
      </c>
      <c r="G195" t="s">
        <v>1036</v>
      </c>
    </row>
    <row r="196" spans="1:7">
      <c r="A196" t="s">
        <v>1037</v>
      </c>
      <c r="B196" t="s">
        <v>1038</v>
      </c>
      <c r="C196" t="s">
        <v>1039</v>
      </c>
      <c r="D196" t="s">
        <v>65</v>
      </c>
      <c r="E196" s="3">
        <v>1180000</v>
      </c>
      <c r="F196" t="s">
        <v>1040</v>
      </c>
      <c r="G196" t="s">
        <v>1041</v>
      </c>
    </row>
    <row r="197" spans="1:7">
      <c r="A197" t="s">
        <v>1042</v>
      </c>
      <c r="B197" t="s">
        <v>1043</v>
      </c>
      <c r="C197" t="s">
        <v>1044</v>
      </c>
      <c r="D197" t="s">
        <v>978</v>
      </c>
      <c r="E197" s="3">
        <v>1180000</v>
      </c>
      <c r="F197" t="s">
        <v>1045</v>
      </c>
      <c r="G197" t="s">
        <v>1046</v>
      </c>
    </row>
    <row r="198" spans="1:7">
      <c r="A198" t="s">
        <v>1047</v>
      </c>
      <c r="B198" t="s">
        <v>1048</v>
      </c>
      <c r="C198" t="s">
        <v>1049</v>
      </c>
      <c r="D198" t="s">
        <v>285</v>
      </c>
      <c r="E198" s="3">
        <v>1180000</v>
      </c>
      <c r="F198" t="s">
        <v>1050</v>
      </c>
      <c r="G198" t="s">
        <v>1051</v>
      </c>
    </row>
    <row r="199" spans="1:7">
      <c r="A199" t="s">
        <v>1052</v>
      </c>
      <c r="B199" t="s">
        <v>1053</v>
      </c>
      <c r="C199" t="s">
        <v>1054</v>
      </c>
      <c r="D199" t="s">
        <v>1055</v>
      </c>
      <c r="E199" s="3">
        <v>1180000</v>
      </c>
      <c r="F199" t="s">
        <v>1056</v>
      </c>
      <c r="G199" t="s">
        <v>1057</v>
      </c>
    </row>
    <row r="200" spans="1:7">
      <c r="A200" t="s">
        <v>1058</v>
      </c>
      <c r="B200" t="s">
        <v>1059</v>
      </c>
      <c r="C200" t="s">
        <v>1060</v>
      </c>
      <c r="D200" t="s">
        <v>942</v>
      </c>
      <c r="E200" s="3">
        <v>1170000</v>
      </c>
      <c r="F200" t="s">
        <v>1061</v>
      </c>
      <c r="G200" t="s">
        <v>1062</v>
      </c>
    </row>
    <row r="201" spans="1:7">
      <c r="A201" t="s">
        <v>1063</v>
      </c>
      <c r="B201" t="s">
        <v>1064</v>
      </c>
      <c r="C201" t="s">
        <v>1065</v>
      </c>
      <c r="D201" t="s">
        <v>10</v>
      </c>
      <c r="E201" s="3">
        <v>1170000</v>
      </c>
      <c r="F201" t="s">
        <v>1066</v>
      </c>
      <c r="G201" t="s">
        <v>1067</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336F0-DA9D-4E8E-AD0B-6A7064A5EA2A}">
  <sheetPr codeName="Sheet3"/>
  <dimension ref="C2:AC81"/>
  <sheetViews>
    <sheetView showGridLines="0" zoomScale="59" workbookViewId="0">
      <selection activeCell="AA20" sqref="AA20"/>
    </sheetView>
  </sheetViews>
  <sheetFormatPr defaultRowHeight="14.4"/>
  <cols>
    <col min="10" max="10" width="33.109375" bestFit="1" customWidth="1"/>
    <col min="11" max="11" width="24" bestFit="1" customWidth="1"/>
    <col min="16" max="16" width="14.21875" bestFit="1" customWidth="1"/>
    <col min="17" max="17" width="16.5546875" bestFit="1" customWidth="1"/>
    <col min="27" max="27" width="11.6640625" customWidth="1"/>
    <col min="28" max="28" width="33.109375" bestFit="1" customWidth="1"/>
    <col min="29" max="29" width="24" bestFit="1" customWidth="1"/>
  </cols>
  <sheetData>
    <row r="2" spans="3:20">
      <c r="C2" s="7"/>
      <c r="D2" s="7"/>
      <c r="E2" s="7"/>
      <c r="F2" s="7"/>
      <c r="G2" s="7"/>
      <c r="H2" s="7"/>
      <c r="I2" s="7"/>
      <c r="J2" s="7"/>
      <c r="K2" s="7"/>
      <c r="L2" s="7"/>
      <c r="M2" s="7"/>
      <c r="N2" s="7"/>
      <c r="O2" s="7"/>
      <c r="P2" s="7"/>
      <c r="Q2" s="7"/>
      <c r="R2" s="7"/>
      <c r="S2" s="7"/>
      <c r="T2" s="7"/>
    </row>
    <row r="3" spans="3:20">
      <c r="C3" s="7"/>
      <c r="D3" s="7"/>
      <c r="E3" s="7"/>
      <c r="F3" s="7"/>
      <c r="G3" s="7"/>
      <c r="H3" s="7"/>
      <c r="I3" s="7"/>
      <c r="J3" s="7"/>
      <c r="K3" s="7"/>
      <c r="L3" s="7"/>
      <c r="M3" s="7"/>
      <c r="N3" s="7"/>
      <c r="O3" s="7"/>
      <c r="P3" s="7"/>
      <c r="Q3" s="7"/>
      <c r="R3" s="7"/>
      <c r="S3" s="7"/>
      <c r="T3" s="7"/>
    </row>
    <row r="4" spans="3:20">
      <c r="C4" s="7"/>
      <c r="D4" s="7"/>
      <c r="E4" s="7"/>
      <c r="F4" s="7"/>
      <c r="G4" s="7"/>
      <c r="H4" s="7"/>
      <c r="I4" s="7"/>
      <c r="J4" s="7"/>
      <c r="K4" s="7"/>
      <c r="L4" s="7"/>
      <c r="M4" s="7"/>
      <c r="N4" s="7"/>
      <c r="O4" s="7"/>
      <c r="P4" s="7"/>
      <c r="Q4" s="7"/>
      <c r="R4" s="7"/>
      <c r="S4" s="7"/>
      <c r="T4" s="7"/>
    </row>
    <row r="5" spans="3:20" ht="24.6" customHeight="1">
      <c r="C5" s="7"/>
      <c r="D5" s="7"/>
      <c r="E5" s="7"/>
      <c r="F5" s="7"/>
      <c r="G5" s="7"/>
      <c r="H5" s="7"/>
      <c r="I5" s="7"/>
      <c r="J5" s="7"/>
      <c r="K5" s="7"/>
      <c r="L5" s="7"/>
      <c r="M5" s="7"/>
      <c r="N5" s="7"/>
      <c r="O5" s="7"/>
      <c r="P5" s="7"/>
      <c r="Q5" s="7"/>
      <c r="R5" s="7"/>
      <c r="S5" s="7"/>
      <c r="T5" s="7"/>
    </row>
    <row r="6" spans="3:20">
      <c r="C6" s="7"/>
      <c r="D6" s="7"/>
      <c r="E6" s="7"/>
      <c r="F6" s="7"/>
      <c r="G6" s="7"/>
      <c r="H6" s="7"/>
      <c r="I6" s="7"/>
      <c r="J6" s="7"/>
      <c r="K6" s="7"/>
      <c r="L6" s="7"/>
      <c r="M6" s="7"/>
      <c r="N6" s="7"/>
      <c r="O6" s="7"/>
      <c r="P6" s="7"/>
      <c r="Q6" s="7"/>
      <c r="R6" s="7"/>
      <c r="S6" s="7"/>
      <c r="T6" s="7"/>
    </row>
    <row r="7" spans="3:20">
      <c r="C7" s="7"/>
      <c r="D7" s="7"/>
      <c r="E7" s="7"/>
      <c r="F7" s="7"/>
      <c r="G7" s="7"/>
      <c r="H7" s="7"/>
      <c r="I7" s="7"/>
      <c r="J7" s="7"/>
      <c r="K7" s="7"/>
      <c r="L7" s="7"/>
      <c r="M7" s="7"/>
      <c r="N7" s="7"/>
      <c r="O7" s="7"/>
      <c r="P7" s="7"/>
      <c r="Q7" s="7"/>
      <c r="R7" s="7"/>
      <c r="S7" s="7"/>
      <c r="T7" s="7"/>
    </row>
    <row r="8" spans="3:20">
      <c r="C8" s="7"/>
      <c r="D8" s="7"/>
      <c r="E8" s="7"/>
      <c r="F8" s="7"/>
      <c r="G8" s="7"/>
      <c r="H8" s="7"/>
      <c r="I8" s="7"/>
      <c r="J8" s="7"/>
      <c r="K8" s="7"/>
      <c r="L8" s="7"/>
      <c r="M8" s="7"/>
      <c r="N8" s="7"/>
      <c r="O8" s="7"/>
      <c r="P8" s="7"/>
      <c r="Q8" s="7"/>
      <c r="R8" s="7"/>
      <c r="S8" s="7"/>
      <c r="T8" s="7"/>
    </row>
    <row r="9" spans="3:20">
      <c r="C9" s="7"/>
      <c r="D9" s="7"/>
      <c r="E9" s="7"/>
      <c r="F9" s="7"/>
      <c r="G9" s="7"/>
      <c r="H9" s="7"/>
      <c r="I9" s="7"/>
      <c r="J9" s="7"/>
      <c r="K9" s="7"/>
      <c r="L9" s="7"/>
      <c r="M9" s="7"/>
      <c r="N9" s="7"/>
      <c r="O9" s="7"/>
      <c r="P9" s="7"/>
      <c r="Q9" s="7"/>
      <c r="R9" s="7"/>
      <c r="S9" s="7"/>
      <c r="T9" s="7"/>
    </row>
    <row r="10" spans="3:20">
      <c r="C10" s="7"/>
      <c r="D10" s="7"/>
      <c r="E10" s="7"/>
      <c r="F10" s="7"/>
      <c r="G10" s="7"/>
      <c r="H10" s="7"/>
      <c r="I10" s="7"/>
      <c r="J10" s="7"/>
      <c r="K10" s="7"/>
      <c r="L10" s="7"/>
      <c r="M10" s="7"/>
      <c r="N10" s="7"/>
      <c r="O10" s="7"/>
      <c r="P10" s="7"/>
      <c r="Q10" s="7"/>
      <c r="R10" s="7"/>
      <c r="S10" s="7"/>
      <c r="T10" s="7"/>
    </row>
    <row r="11" spans="3:20">
      <c r="C11" s="7"/>
      <c r="D11" s="7"/>
      <c r="E11" s="7"/>
      <c r="F11" s="7"/>
      <c r="G11" s="7"/>
      <c r="H11" s="7"/>
      <c r="I11" s="7"/>
      <c r="J11" s="7"/>
      <c r="K11" s="7"/>
      <c r="L11" s="7"/>
      <c r="M11" s="7"/>
      <c r="N11" s="7"/>
      <c r="O11" s="7"/>
      <c r="P11" s="7"/>
      <c r="Q11" s="7"/>
      <c r="R11" s="7"/>
      <c r="S11" s="7"/>
      <c r="T11" s="7"/>
    </row>
    <row r="12" spans="3:20">
      <c r="C12" s="7"/>
      <c r="D12" s="7"/>
      <c r="E12" s="7"/>
      <c r="F12" s="7"/>
      <c r="G12" s="7"/>
      <c r="H12" s="7"/>
      <c r="I12" s="7"/>
      <c r="J12" s="7"/>
      <c r="K12" s="7"/>
      <c r="L12" s="7"/>
      <c r="M12" s="7"/>
      <c r="N12" s="7"/>
      <c r="O12" s="7"/>
      <c r="P12" s="7"/>
      <c r="Q12" s="7"/>
      <c r="R12" s="7"/>
      <c r="S12" s="7"/>
      <c r="T12" s="7"/>
    </row>
    <row r="13" spans="3:20">
      <c r="C13" s="7"/>
      <c r="D13" s="7"/>
      <c r="E13" s="7"/>
      <c r="F13" s="7"/>
      <c r="G13" s="7"/>
      <c r="H13" s="7"/>
      <c r="I13" s="7"/>
      <c r="J13" s="7"/>
      <c r="K13" s="7"/>
      <c r="L13" s="7"/>
      <c r="M13" s="7"/>
      <c r="N13" s="7"/>
      <c r="O13" s="7"/>
      <c r="P13" s="7"/>
      <c r="Q13" s="7"/>
      <c r="R13" s="7"/>
      <c r="S13" s="7"/>
      <c r="T13" s="7"/>
    </row>
    <row r="14" spans="3:20">
      <c r="C14" s="7"/>
      <c r="D14" s="7"/>
      <c r="E14" s="7"/>
      <c r="F14" s="7"/>
      <c r="G14" s="7"/>
      <c r="H14" s="7"/>
      <c r="I14" s="7"/>
      <c r="J14" s="7"/>
      <c r="K14" s="7"/>
      <c r="L14" s="7"/>
      <c r="M14" s="7"/>
      <c r="N14" s="7"/>
      <c r="O14" s="7"/>
      <c r="P14" s="7"/>
      <c r="Q14" s="7"/>
      <c r="R14" s="7"/>
      <c r="S14" s="7"/>
      <c r="T14" s="7"/>
    </row>
    <row r="15" spans="3:20">
      <c r="C15" s="7"/>
      <c r="D15" s="7"/>
      <c r="E15" s="7"/>
      <c r="F15" s="7"/>
      <c r="G15" s="7"/>
      <c r="H15" s="7"/>
      <c r="I15" s="7"/>
      <c r="J15" s="7"/>
      <c r="K15" s="7"/>
      <c r="L15" s="7"/>
      <c r="M15" s="7"/>
      <c r="N15" s="7"/>
      <c r="O15" s="7"/>
      <c r="P15" s="7"/>
      <c r="Q15" s="7"/>
      <c r="R15" s="7"/>
      <c r="S15" s="7"/>
      <c r="T15" s="7"/>
    </row>
    <row r="16" spans="3:20">
      <c r="C16" s="7"/>
      <c r="D16" s="7"/>
      <c r="E16" s="7"/>
      <c r="F16" s="7"/>
      <c r="G16" s="7"/>
      <c r="H16" s="7"/>
      <c r="I16" s="7"/>
      <c r="J16" s="7"/>
      <c r="K16" s="7"/>
      <c r="L16" s="7"/>
      <c r="M16" s="7"/>
      <c r="N16" s="7"/>
      <c r="O16" s="7"/>
      <c r="P16" s="7"/>
      <c r="Q16" s="7"/>
      <c r="R16" s="7"/>
      <c r="S16" s="7"/>
      <c r="T16" s="7"/>
    </row>
    <row r="17" spans="3:29">
      <c r="C17" s="7"/>
      <c r="D17" s="7"/>
      <c r="E17" s="7"/>
      <c r="F17" s="7"/>
      <c r="G17" s="7"/>
      <c r="H17" s="7"/>
      <c r="I17" s="7"/>
      <c r="J17" s="7"/>
      <c r="K17" s="7"/>
      <c r="L17" s="7"/>
      <c r="M17" s="7"/>
      <c r="N17" s="7"/>
      <c r="O17" s="7"/>
      <c r="P17" s="7"/>
      <c r="Q17" s="7"/>
      <c r="R17" s="7"/>
      <c r="S17" s="7"/>
      <c r="T17" s="7"/>
    </row>
    <row r="18" spans="3:29">
      <c r="C18" s="7"/>
      <c r="D18" s="7"/>
      <c r="E18" s="7"/>
      <c r="F18" s="7"/>
      <c r="G18" s="7"/>
      <c r="H18" s="7"/>
      <c r="I18" s="7"/>
      <c r="J18" s="7"/>
      <c r="K18" s="7"/>
      <c r="L18" s="7"/>
      <c r="M18" s="7"/>
      <c r="N18" s="7"/>
      <c r="O18" s="7"/>
      <c r="P18" s="7"/>
      <c r="Q18" s="7"/>
      <c r="R18" s="7"/>
      <c r="S18" s="7"/>
      <c r="T18" s="7"/>
    </row>
    <row r="19" spans="3:29">
      <c r="C19" s="7"/>
      <c r="D19" s="7"/>
      <c r="E19" s="7"/>
      <c r="F19" s="7"/>
      <c r="G19" s="7"/>
      <c r="H19" s="7"/>
      <c r="I19" s="7"/>
      <c r="J19" s="7"/>
      <c r="K19" s="7"/>
      <c r="L19" s="7"/>
      <c r="M19" s="7"/>
      <c r="N19" s="7"/>
      <c r="O19" s="7"/>
      <c r="P19" s="7"/>
      <c r="Q19" s="7"/>
      <c r="R19" s="7"/>
      <c r="S19" s="7"/>
      <c r="T19" s="7"/>
    </row>
    <row r="20" spans="3:29">
      <c r="C20" s="7"/>
      <c r="D20" s="7"/>
      <c r="E20" s="7"/>
      <c r="F20" s="7"/>
      <c r="G20" s="7"/>
      <c r="H20" s="7"/>
      <c r="I20" s="7"/>
      <c r="J20" s="7"/>
      <c r="K20" s="7"/>
      <c r="L20" s="7"/>
      <c r="M20" s="7"/>
      <c r="N20" s="7"/>
      <c r="O20" s="7"/>
      <c r="P20" s="7"/>
      <c r="Q20" s="7"/>
      <c r="R20" s="7"/>
      <c r="S20" s="7"/>
      <c r="T20" s="7"/>
    </row>
    <row r="21" spans="3:29">
      <c r="C21" s="7"/>
      <c r="D21" s="7"/>
      <c r="E21" s="7"/>
      <c r="F21" s="7"/>
      <c r="G21" s="7"/>
      <c r="H21" s="7"/>
      <c r="I21" s="7"/>
      <c r="J21" s="7"/>
      <c r="K21" s="7"/>
      <c r="L21" s="7"/>
      <c r="M21" s="7"/>
      <c r="N21" s="7"/>
      <c r="O21" s="7"/>
      <c r="P21" s="7"/>
      <c r="Q21" s="7"/>
      <c r="R21" s="7"/>
      <c r="S21" s="7"/>
      <c r="T21" s="7"/>
    </row>
    <row r="22" spans="3:29">
      <c r="C22" s="7"/>
      <c r="D22" s="7"/>
      <c r="E22" s="7"/>
      <c r="F22" s="7"/>
      <c r="G22" s="7"/>
      <c r="H22" s="7"/>
      <c r="I22" s="7"/>
      <c r="J22" s="7"/>
      <c r="K22" s="7"/>
      <c r="L22" s="7"/>
      <c r="M22" s="7"/>
      <c r="N22" s="7"/>
      <c r="O22" s="7"/>
      <c r="P22" s="7"/>
      <c r="Q22" s="7"/>
      <c r="R22" s="7"/>
      <c r="S22" s="7"/>
      <c r="T22" s="7"/>
    </row>
    <row r="23" spans="3:29">
      <c r="C23" s="7"/>
      <c r="D23" s="7"/>
      <c r="E23" s="7"/>
      <c r="F23" s="7"/>
      <c r="G23" s="7"/>
      <c r="H23" s="7"/>
      <c r="I23" s="7"/>
      <c r="J23" s="7"/>
      <c r="K23" s="7"/>
      <c r="L23" s="7"/>
      <c r="M23" s="7"/>
      <c r="N23" s="7"/>
      <c r="O23" s="7"/>
      <c r="P23" s="7"/>
      <c r="Q23" s="7"/>
      <c r="R23" s="7"/>
      <c r="S23" s="7"/>
      <c r="T23" s="7"/>
    </row>
    <row r="24" spans="3:29">
      <c r="C24" s="7"/>
      <c r="D24" s="7"/>
      <c r="E24" s="7"/>
      <c r="F24" s="7"/>
      <c r="G24" s="7"/>
      <c r="H24" s="7"/>
      <c r="I24" s="7"/>
      <c r="J24" s="7"/>
      <c r="K24" s="7"/>
      <c r="L24" s="7"/>
      <c r="M24" s="7"/>
      <c r="N24" s="7"/>
      <c r="O24" s="7"/>
      <c r="P24" s="7"/>
      <c r="Q24" s="7"/>
      <c r="R24" s="7"/>
      <c r="S24" s="7"/>
      <c r="T24" s="7"/>
    </row>
    <row r="25" spans="3:29">
      <c r="C25" s="7"/>
      <c r="D25" s="7"/>
      <c r="E25" s="7"/>
      <c r="F25" s="7"/>
      <c r="G25" s="7"/>
      <c r="H25" s="7"/>
      <c r="I25" s="7"/>
      <c r="J25" s="7"/>
      <c r="K25" s="7"/>
      <c r="L25" s="7"/>
      <c r="M25" s="7"/>
      <c r="N25" s="7"/>
      <c r="O25" s="7"/>
      <c r="P25" s="7"/>
      <c r="Q25" s="7"/>
      <c r="R25" s="7"/>
      <c r="S25" s="7"/>
      <c r="T25" s="7"/>
    </row>
    <row r="26" spans="3:29">
      <c r="C26" s="7"/>
      <c r="D26" s="7"/>
      <c r="E26" s="7"/>
      <c r="F26" s="7"/>
      <c r="G26" s="7"/>
      <c r="H26" s="7"/>
      <c r="I26" s="7"/>
      <c r="J26" s="7"/>
      <c r="K26" s="7"/>
      <c r="L26" s="7"/>
      <c r="M26" s="7"/>
      <c r="N26" s="7"/>
      <c r="O26" s="7"/>
      <c r="P26" s="7"/>
      <c r="Q26" s="7"/>
      <c r="R26" s="7"/>
      <c r="S26" s="7"/>
      <c r="T26" s="7"/>
    </row>
    <row r="27" spans="3:29">
      <c r="C27" s="7"/>
      <c r="D27" s="7"/>
      <c r="E27" s="7"/>
      <c r="F27" s="7"/>
      <c r="G27" s="7"/>
      <c r="H27" s="7"/>
      <c r="I27" s="7"/>
      <c r="J27" s="7"/>
      <c r="K27" s="7"/>
      <c r="L27" s="7"/>
      <c r="M27" s="7"/>
      <c r="N27" s="7"/>
      <c r="O27" s="7"/>
      <c r="P27" s="7"/>
      <c r="Q27" s="7"/>
      <c r="R27" s="7"/>
      <c r="S27" s="7"/>
      <c r="T27" s="7"/>
    </row>
    <row r="28" spans="3:29">
      <c r="C28" s="7"/>
      <c r="D28" s="7"/>
      <c r="E28" s="7"/>
      <c r="F28" s="7"/>
      <c r="G28" s="7"/>
      <c r="H28" s="7"/>
      <c r="I28" s="7"/>
      <c r="J28" s="7"/>
      <c r="K28" s="7"/>
      <c r="L28" s="7"/>
      <c r="M28" s="7"/>
      <c r="N28" s="7"/>
      <c r="O28" s="7"/>
      <c r="P28" s="7"/>
      <c r="Q28" s="7"/>
      <c r="R28" s="7"/>
      <c r="S28" s="7"/>
      <c r="T28" s="7"/>
    </row>
    <row r="29" spans="3:29">
      <c r="C29" s="7"/>
      <c r="D29" s="7"/>
      <c r="E29" s="7"/>
      <c r="F29" s="7"/>
      <c r="G29" s="7"/>
      <c r="H29" s="7"/>
      <c r="I29" s="7"/>
      <c r="J29" s="7"/>
      <c r="K29" s="7"/>
      <c r="L29" s="7"/>
      <c r="M29" s="7"/>
      <c r="N29" s="7"/>
      <c r="O29" s="7"/>
      <c r="P29" s="7"/>
      <c r="Q29" s="7"/>
      <c r="R29" s="7"/>
      <c r="S29" s="7"/>
      <c r="T29" s="7"/>
    </row>
    <row r="30" spans="3:29">
      <c r="C30" s="7"/>
      <c r="D30" s="7"/>
      <c r="E30" s="7"/>
      <c r="F30" s="7"/>
      <c r="G30" s="7"/>
      <c r="H30" s="7"/>
      <c r="I30" s="7"/>
      <c r="J30" s="7"/>
      <c r="K30" s="7"/>
      <c r="L30" s="7"/>
      <c r="M30" s="7"/>
      <c r="N30" s="7"/>
      <c r="O30" s="7"/>
      <c r="P30" s="7"/>
      <c r="Q30" s="7"/>
      <c r="R30" s="7"/>
      <c r="S30" s="7"/>
      <c r="T30" s="7"/>
    </row>
    <row r="31" spans="3:29">
      <c r="C31" s="7"/>
      <c r="D31" s="7"/>
      <c r="E31" s="7"/>
      <c r="F31" s="7"/>
      <c r="G31" s="7"/>
      <c r="H31" s="7"/>
      <c r="I31" s="7"/>
      <c r="J31" s="7"/>
      <c r="K31" s="7"/>
      <c r="L31" s="7"/>
      <c r="M31" s="7"/>
      <c r="N31" s="7"/>
      <c r="O31" s="7"/>
      <c r="P31" s="7"/>
      <c r="Q31" s="7"/>
      <c r="R31" s="7"/>
      <c r="S31" s="7"/>
      <c r="T31" s="7"/>
      <c r="AB31" s="35" t="s">
        <v>1241</v>
      </c>
      <c r="AC31" s="35"/>
    </row>
    <row r="32" spans="3:29">
      <c r="C32" s="7"/>
      <c r="D32" s="7"/>
      <c r="E32" s="7"/>
      <c r="F32" s="7"/>
      <c r="G32" s="7"/>
      <c r="H32" s="7"/>
      <c r="I32" s="7"/>
      <c r="J32" s="7" t="s">
        <v>1241</v>
      </c>
      <c r="K32" s="7"/>
      <c r="L32" s="7"/>
      <c r="M32" s="7"/>
      <c r="N32" s="7"/>
      <c r="O32" s="7"/>
      <c r="P32" s="7"/>
      <c r="Q32" s="7"/>
      <c r="R32" s="7"/>
      <c r="S32" s="7"/>
      <c r="T32" s="7"/>
    </row>
    <row r="33" spans="3:20">
      <c r="C33" s="7"/>
      <c r="D33" s="7"/>
      <c r="E33" s="7"/>
      <c r="F33" s="7"/>
      <c r="G33" s="7"/>
      <c r="H33" s="7"/>
      <c r="I33" s="7"/>
      <c r="J33" s="7"/>
      <c r="K33" s="7"/>
      <c r="L33" s="7"/>
      <c r="M33" s="7"/>
      <c r="N33" s="7"/>
      <c r="O33" s="7"/>
      <c r="P33" s="7"/>
      <c r="Q33" s="7"/>
      <c r="R33" s="7"/>
      <c r="S33" s="7"/>
      <c r="T33" s="7"/>
    </row>
    <row r="34" spans="3:20">
      <c r="C34" s="7"/>
      <c r="D34" s="7"/>
      <c r="E34" s="7"/>
      <c r="F34" s="7"/>
      <c r="G34" s="7"/>
      <c r="H34" s="7"/>
      <c r="I34" s="7"/>
      <c r="J34" s="7"/>
      <c r="K34" s="7"/>
      <c r="L34" s="7"/>
      <c r="M34" s="7"/>
      <c r="N34" s="7"/>
      <c r="O34" s="7"/>
      <c r="P34" s="7"/>
      <c r="Q34" s="7"/>
      <c r="R34" s="7"/>
      <c r="S34" s="7"/>
      <c r="T34" s="7"/>
    </row>
    <row r="35" spans="3:20">
      <c r="C35" s="7"/>
      <c r="D35" s="7"/>
      <c r="E35" s="7"/>
      <c r="F35" s="7"/>
      <c r="G35" s="7"/>
      <c r="H35" s="7"/>
      <c r="I35" s="7"/>
      <c r="J35" s="7"/>
      <c r="K35" s="7"/>
      <c r="L35" s="7"/>
      <c r="M35" s="7"/>
      <c r="N35" s="7"/>
      <c r="O35" s="7"/>
      <c r="P35" s="7"/>
      <c r="Q35" s="7"/>
      <c r="R35" s="7"/>
      <c r="S35" s="7"/>
      <c r="T35" s="7"/>
    </row>
    <row r="36" spans="3:20">
      <c r="C36" s="7"/>
      <c r="D36" s="7"/>
      <c r="E36" s="7"/>
      <c r="F36" s="7"/>
      <c r="G36" s="7"/>
      <c r="H36" s="7"/>
      <c r="I36" s="7"/>
      <c r="J36" s="7"/>
      <c r="K36" s="7"/>
      <c r="L36" s="7"/>
      <c r="M36" s="7"/>
      <c r="N36" s="7"/>
      <c r="O36" s="7"/>
      <c r="P36" s="7"/>
      <c r="Q36" s="7"/>
      <c r="R36" s="7"/>
      <c r="S36" s="7"/>
      <c r="T36" s="7"/>
    </row>
    <row r="37" spans="3:20">
      <c r="C37" s="7"/>
      <c r="D37" s="7"/>
      <c r="E37" s="7"/>
      <c r="F37" s="7"/>
      <c r="G37" s="7"/>
      <c r="H37" s="7"/>
      <c r="I37" s="7"/>
      <c r="J37" s="7"/>
      <c r="K37" s="7"/>
      <c r="L37" s="7"/>
      <c r="M37" s="7"/>
      <c r="N37" s="7"/>
      <c r="O37" s="7"/>
      <c r="P37" s="7"/>
      <c r="Q37" s="7"/>
      <c r="R37" s="7"/>
      <c r="S37" s="7"/>
      <c r="T37" s="7"/>
    </row>
    <row r="38" spans="3:20">
      <c r="C38" s="7"/>
      <c r="D38" s="7"/>
      <c r="E38" s="7"/>
      <c r="F38" s="7"/>
      <c r="G38" s="7"/>
      <c r="H38" s="7"/>
      <c r="I38" s="7"/>
      <c r="J38" s="7"/>
      <c r="K38" s="7"/>
      <c r="L38" s="7"/>
      <c r="M38" s="7"/>
      <c r="N38" s="7"/>
      <c r="O38" s="7"/>
      <c r="P38" s="7"/>
      <c r="Q38" s="7"/>
      <c r="R38" s="7"/>
      <c r="S38" s="7"/>
      <c r="T38" s="7"/>
    </row>
    <row r="39" spans="3:20">
      <c r="C39" s="7"/>
      <c r="D39" s="7"/>
      <c r="E39" s="7"/>
      <c r="F39" s="7"/>
      <c r="G39" s="7"/>
      <c r="H39" s="7"/>
      <c r="I39" s="7"/>
      <c r="J39" s="7"/>
      <c r="K39" s="7"/>
      <c r="L39" s="7"/>
      <c r="M39" s="7"/>
      <c r="N39" s="7"/>
      <c r="O39" s="7"/>
      <c r="P39" s="7"/>
      <c r="Q39" s="7"/>
      <c r="R39" s="7"/>
      <c r="S39" s="7"/>
      <c r="T39" s="7"/>
    </row>
    <row r="40" spans="3:20">
      <c r="C40" s="7"/>
      <c r="D40" s="7"/>
      <c r="E40" s="7"/>
      <c r="F40" s="7"/>
      <c r="G40" s="7"/>
      <c r="H40" s="7"/>
      <c r="I40" s="7"/>
      <c r="J40" s="7"/>
      <c r="K40" s="7"/>
      <c r="L40" s="7"/>
      <c r="M40" s="7"/>
      <c r="N40" s="7"/>
      <c r="O40" s="7"/>
      <c r="P40" s="7"/>
      <c r="Q40" s="7"/>
      <c r="R40" s="7"/>
      <c r="S40" s="7"/>
      <c r="T40" s="7"/>
    </row>
    <row r="41" spans="3:20">
      <c r="C41" s="7"/>
      <c r="D41" s="7"/>
      <c r="E41" s="7"/>
      <c r="F41" s="7"/>
      <c r="G41" s="7"/>
      <c r="H41" s="7"/>
      <c r="I41" s="7"/>
      <c r="J41" s="7"/>
      <c r="K41" s="7"/>
      <c r="L41" s="7"/>
      <c r="M41" s="7"/>
      <c r="N41" s="7"/>
      <c r="O41" s="7"/>
      <c r="P41" s="7"/>
      <c r="Q41" s="7"/>
      <c r="R41" s="7"/>
      <c r="S41" s="7"/>
      <c r="T41" s="7"/>
    </row>
    <row r="42" spans="3:20">
      <c r="C42" s="7"/>
      <c r="D42" s="7"/>
      <c r="E42" s="7"/>
      <c r="F42" s="7"/>
      <c r="G42" s="7"/>
      <c r="H42" s="7"/>
      <c r="I42" s="7"/>
      <c r="J42" s="7"/>
      <c r="K42" s="7"/>
      <c r="L42" s="7"/>
      <c r="M42" s="7"/>
      <c r="N42" s="7"/>
      <c r="O42" s="7"/>
      <c r="P42" s="7"/>
      <c r="Q42" s="7"/>
      <c r="R42" s="7"/>
      <c r="S42" s="7"/>
      <c r="T42" s="7"/>
    </row>
    <row r="43" spans="3:20">
      <c r="C43" s="7"/>
      <c r="D43" s="7"/>
      <c r="E43" s="7"/>
      <c r="F43" s="7"/>
      <c r="G43" s="7"/>
      <c r="H43" s="7"/>
      <c r="I43" s="7"/>
      <c r="J43" s="7"/>
      <c r="K43" s="7"/>
      <c r="L43" s="7"/>
      <c r="M43" s="7"/>
      <c r="N43" s="7"/>
      <c r="O43" s="7"/>
      <c r="P43" s="7"/>
      <c r="Q43" s="7"/>
      <c r="R43" s="7"/>
      <c r="S43" s="7"/>
      <c r="T43" s="7"/>
    </row>
    <row r="44" spans="3:20">
      <c r="C44" s="7"/>
      <c r="D44" s="7"/>
      <c r="E44" s="7"/>
      <c r="F44" s="7"/>
      <c r="G44" s="7"/>
      <c r="H44" s="7"/>
      <c r="I44" s="7"/>
      <c r="J44" s="7"/>
      <c r="K44" s="7"/>
      <c r="L44" s="7"/>
      <c r="M44" s="7"/>
      <c r="N44" s="7"/>
      <c r="O44" s="7"/>
      <c r="P44" s="7"/>
      <c r="Q44" s="7"/>
      <c r="R44" s="7"/>
      <c r="S44" s="7"/>
      <c r="T44" s="7"/>
    </row>
    <row r="45" spans="3:20">
      <c r="C45" s="7"/>
      <c r="D45" s="7"/>
      <c r="E45" s="7"/>
      <c r="F45" s="7"/>
      <c r="G45" s="7"/>
      <c r="H45" s="7"/>
      <c r="I45" s="7"/>
      <c r="J45" s="7"/>
      <c r="K45" s="7"/>
      <c r="L45" s="7"/>
      <c r="M45" s="7"/>
      <c r="N45" s="7"/>
      <c r="O45" s="7"/>
      <c r="P45" s="7"/>
      <c r="Q45" s="7"/>
      <c r="R45" s="7"/>
      <c r="S45" s="7"/>
      <c r="T45" s="7"/>
    </row>
    <row r="46" spans="3:20">
      <c r="C46" s="7"/>
      <c r="D46" s="7"/>
      <c r="E46" s="7"/>
      <c r="F46" s="7"/>
      <c r="G46" s="7"/>
      <c r="H46" s="7"/>
      <c r="I46" s="7"/>
      <c r="J46" s="7"/>
      <c r="K46" s="7"/>
      <c r="L46" s="7"/>
      <c r="M46" s="7"/>
      <c r="N46" s="7"/>
      <c r="O46" s="7"/>
      <c r="P46" s="7"/>
      <c r="Q46" s="7"/>
      <c r="R46" s="7"/>
      <c r="S46" s="7"/>
      <c r="T46" s="7"/>
    </row>
    <row r="47" spans="3:20">
      <c r="C47" s="7"/>
      <c r="D47" s="7"/>
      <c r="E47" s="7"/>
      <c r="F47" s="7"/>
      <c r="G47" s="7"/>
      <c r="H47" s="7"/>
      <c r="I47" s="7"/>
      <c r="J47" s="7"/>
      <c r="K47" s="7"/>
      <c r="L47" s="7"/>
      <c r="M47" s="7"/>
      <c r="N47" s="7"/>
      <c r="O47" s="7"/>
      <c r="P47" s="7"/>
      <c r="Q47" s="7"/>
      <c r="R47" s="7"/>
      <c r="S47" s="7"/>
      <c r="T47" s="7"/>
    </row>
    <row r="48" spans="3:20">
      <c r="C48" s="7"/>
      <c r="D48" s="7"/>
      <c r="E48" s="7"/>
      <c r="F48" s="7"/>
      <c r="G48" s="7"/>
      <c r="H48" s="7"/>
      <c r="I48" s="7"/>
      <c r="J48" s="7"/>
      <c r="K48" s="7"/>
      <c r="L48" s="7"/>
      <c r="M48" s="7"/>
      <c r="N48" s="7"/>
      <c r="O48" s="7"/>
      <c r="P48" s="7"/>
      <c r="Q48" s="7"/>
      <c r="R48" s="7"/>
      <c r="S48" s="7"/>
      <c r="T48" s="7"/>
    </row>
    <row r="49" spans="3:20">
      <c r="C49" s="7"/>
      <c r="D49" s="7"/>
      <c r="E49" s="7"/>
      <c r="F49" s="7"/>
      <c r="G49" s="7"/>
      <c r="H49" s="7"/>
      <c r="I49" s="7"/>
      <c r="J49" s="7"/>
      <c r="K49" s="7"/>
      <c r="L49" s="7"/>
      <c r="M49" s="7"/>
      <c r="N49" s="7"/>
      <c r="O49" s="7"/>
      <c r="P49" s="7"/>
      <c r="Q49" s="7"/>
      <c r="R49" s="7"/>
      <c r="S49" s="7"/>
      <c r="T49" s="7"/>
    </row>
    <row r="50" spans="3:20">
      <c r="C50" s="7"/>
      <c r="D50" s="7"/>
      <c r="E50" s="7"/>
      <c r="F50" s="7"/>
      <c r="G50" s="7"/>
      <c r="H50" s="7"/>
      <c r="I50" s="7"/>
      <c r="J50" s="7"/>
      <c r="K50" s="7"/>
      <c r="L50" s="7"/>
      <c r="M50" s="7"/>
      <c r="N50" s="7"/>
      <c r="O50" s="7"/>
      <c r="P50" s="7"/>
      <c r="Q50" s="7"/>
      <c r="R50" s="7"/>
      <c r="S50" s="7"/>
      <c r="T50" s="7"/>
    </row>
    <row r="51" spans="3:20">
      <c r="C51" s="7"/>
      <c r="D51" s="7"/>
      <c r="E51" s="7"/>
      <c r="F51" s="7"/>
      <c r="G51" s="7"/>
      <c r="H51" s="7"/>
      <c r="I51" s="7"/>
      <c r="J51" s="7"/>
      <c r="K51" s="7"/>
      <c r="L51" s="7"/>
      <c r="M51" s="7"/>
      <c r="N51" s="7"/>
      <c r="O51" s="7"/>
      <c r="P51" s="7"/>
      <c r="Q51" s="7"/>
      <c r="R51" s="7"/>
      <c r="S51" s="7"/>
      <c r="T51" s="7"/>
    </row>
    <row r="52" spans="3:20">
      <c r="C52" s="7"/>
      <c r="D52" s="7"/>
      <c r="E52" s="7"/>
      <c r="F52" s="7"/>
      <c r="G52" s="7"/>
      <c r="H52" s="7"/>
      <c r="I52" s="7"/>
      <c r="J52" s="7"/>
      <c r="K52" s="7"/>
      <c r="L52" s="7"/>
      <c r="M52" s="7"/>
      <c r="N52" s="7"/>
      <c r="O52" s="7"/>
      <c r="P52" s="7"/>
      <c r="Q52" s="7"/>
      <c r="R52" s="7"/>
      <c r="S52" s="7"/>
      <c r="T52" s="7"/>
    </row>
    <row r="53" spans="3:20">
      <c r="C53" s="7"/>
      <c r="D53" s="7"/>
      <c r="E53" s="7"/>
      <c r="F53" s="7"/>
      <c r="G53" s="7"/>
      <c r="H53" s="7"/>
      <c r="I53" s="7"/>
      <c r="J53" s="7"/>
      <c r="K53" s="7"/>
      <c r="L53" s="7"/>
      <c r="M53" s="7"/>
      <c r="N53" s="7"/>
      <c r="O53" s="7"/>
      <c r="P53" s="7"/>
      <c r="Q53" s="7"/>
      <c r="R53" s="7"/>
      <c r="S53" s="7"/>
      <c r="T53" s="7"/>
    </row>
    <row r="54" spans="3:20">
      <c r="C54" s="7"/>
      <c r="D54" s="7"/>
      <c r="E54" s="7"/>
      <c r="F54" s="7"/>
      <c r="G54" s="7"/>
      <c r="H54" s="7"/>
      <c r="I54" s="7"/>
      <c r="J54" s="7"/>
      <c r="K54" s="7"/>
      <c r="L54" s="7"/>
      <c r="M54" s="7"/>
      <c r="N54" s="7"/>
      <c r="O54" s="7"/>
      <c r="P54" s="7"/>
      <c r="Q54" s="7"/>
      <c r="R54" s="7"/>
      <c r="S54" s="7"/>
      <c r="T54" s="7"/>
    </row>
    <row r="55" spans="3:20">
      <c r="C55" s="7"/>
      <c r="D55" s="7"/>
      <c r="E55" s="7"/>
      <c r="F55" s="7"/>
      <c r="G55" s="7"/>
      <c r="H55" s="7"/>
      <c r="I55" s="7"/>
      <c r="J55" s="7"/>
      <c r="K55" s="7"/>
      <c r="L55" s="7"/>
      <c r="M55" s="7"/>
      <c r="N55" s="7"/>
      <c r="O55" s="7"/>
      <c r="P55" s="7"/>
      <c r="Q55" s="7"/>
      <c r="R55" s="7"/>
      <c r="S55" s="7"/>
      <c r="T55" s="7"/>
    </row>
    <row r="56" spans="3:20">
      <c r="C56" s="7"/>
      <c r="D56" s="7"/>
      <c r="E56" s="7"/>
      <c r="F56" s="7"/>
      <c r="G56" s="7"/>
      <c r="H56" s="7"/>
      <c r="I56" s="7"/>
      <c r="J56" s="7"/>
      <c r="K56" s="7"/>
      <c r="L56" s="7"/>
      <c r="M56" s="7"/>
      <c r="N56" s="7"/>
      <c r="O56" s="7"/>
      <c r="P56" s="7"/>
      <c r="Q56" s="7"/>
      <c r="R56" s="7"/>
      <c r="S56" s="7"/>
      <c r="T56" s="7"/>
    </row>
    <row r="57" spans="3:20">
      <c r="C57" s="7"/>
      <c r="D57" s="7"/>
      <c r="E57" s="7"/>
      <c r="F57" s="7"/>
      <c r="G57" s="7"/>
      <c r="H57" s="7"/>
      <c r="I57" s="7"/>
      <c r="J57" s="7"/>
      <c r="K57" s="7"/>
      <c r="L57" s="7"/>
      <c r="M57" s="7"/>
      <c r="N57" s="7"/>
      <c r="O57" s="7"/>
      <c r="P57" s="7"/>
      <c r="Q57" s="7"/>
      <c r="R57" s="7"/>
      <c r="S57" s="7"/>
      <c r="T57" s="7"/>
    </row>
    <row r="58" spans="3:20">
      <c r="C58" s="7"/>
      <c r="D58" s="7"/>
      <c r="E58" s="7"/>
      <c r="F58" s="7"/>
      <c r="G58" s="7"/>
      <c r="H58" s="7"/>
      <c r="I58" s="7"/>
      <c r="J58" s="7"/>
      <c r="K58" s="7"/>
      <c r="L58" s="7"/>
      <c r="M58" s="7"/>
      <c r="N58" s="7"/>
      <c r="O58" s="7"/>
      <c r="P58" s="7"/>
      <c r="Q58" s="7"/>
      <c r="R58" s="7"/>
      <c r="S58" s="7"/>
      <c r="T58" s="7"/>
    </row>
    <row r="59" spans="3:20">
      <c r="C59" s="7"/>
      <c r="D59" s="7"/>
      <c r="E59" s="7"/>
      <c r="F59" s="7"/>
      <c r="G59" s="7"/>
      <c r="H59" s="7"/>
      <c r="I59" s="7"/>
      <c r="J59" s="7"/>
      <c r="K59" s="7"/>
      <c r="L59" s="7"/>
      <c r="M59" s="7"/>
      <c r="N59" s="7"/>
      <c r="O59" s="7"/>
      <c r="P59" s="7"/>
      <c r="Q59" s="7"/>
      <c r="R59" s="7"/>
      <c r="S59" s="7"/>
      <c r="T59" s="7"/>
    </row>
    <row r="60" spans="3:20">
      <c r="C60" s="7"/>
      <c r="D60" s="7"/>
      <c r="E60" s="7"/>
      <c r="F60" s="7"/>
      <c r="G60" s="7"/>
      <c r="H60" s="7"/>
      <c r="I60" s="7"/>
      <c r="J60" s="7"/>
      <c r="K60" s="7"/>
      <c r="L60" s="7"/>
      <c r="M60" s="7"/>
      <c r="N60" s="7"/>
      <c r="O60" s="7"/>
      <c r="P60" s="7"/>
      <c r="Q60" s="7"/>
      <c r="R60" s="7"/>
      <c r="S60" s="7"/>
      <c r="T60" s="7"/>
    </row>
    <row r="61" spans="3:20">
      <c r="C61" s="7"/>
      <c r="D61" s="7"/>
      <c r="E61" s="7"/>
      <c r="F61" s="7"/>
      <c r="G61" s="7"/>
      <c r="H61" s="7"/>
      <c r="I61" s="7"/>
      <c r="J61" s="7"/>
      <c r="K61" s="7"/>
      <c r="L61" s="7"/>
      <c r="M61" s="7"/>
      <c r="N61" s="7"/>
      <c r="O61" s="7"/>
      <c r="P61" s="7"/>
      <c r="Q61" s="7"/>
      <c r="R61" s="7"/>
      <c r="S61" s="7"/>
      <c r="T61" s="7"/>
    </row>
    <row r="62" spans="3:20">
      <c r="C62" s="7"/>
      <c r="D62" s="7"/>
      <c r="E62" s="7"/>
      <c r="F62" s="7"/>
      <c r="G62" s="7"/>
      <c r="H62" s="7"/>
      <c r="I62" s="7"/>
      <c r="J62" s="7"/>
      <c r="K62" s="7"/>
      <c r="L62" s="7"/>
      <c r="M62" s="7"/>
      <c r="N62" s="7"/>
      <c r="O62" s="7"/>
      <c r="P62" s="7"/>
      <c r="Q62" s="7"/>
      <c r="R62" s="7"/>
      <c r="S62" s="7"/>
      <c r="T62" s="7"/>
    </row>
    <row r="63" spans="3:20" ht="18">
      <c r="C63" s="7"/>
      <c r="D63" s="7"/>
      <c r="E63" s="7"/>
      <c r="F63" s="7"/>
      <c r="G63" s="7"/>
      <c r="H63" s="8"/>
      <c r="I63" s="7"/>
      <c r="J63" s="7"/>
      <c r="K63" s="7"/>
      <c r="L63" s="7"/>
      <c r="M63" s="7"/>
      <c r="N63" s="7"/>
      <c r="O63" s="7"/>
      <c r="P63" s="7"/>
      <c r="Q63" s="7"/>
      <c r="R63" s="7"/>
      <c r="S63" s="7"/>
      <c r="T63" s="7"/>
    </row>
    <row r="64" spans="3:20">
      <c r="C64" s="7"/>
      <c r="D64" s="7"/>
      <c r="E64" s="7"/>
      <c r="F64" s="7"/>
      <c r="G64" s="7"/>
      <c r="H64" s="7"/>
      <c r="I64" s="7"/>
      <c r="J64" s="7"/>
      <c r="K64" s="7"/>
      <c r="L64" s="7"/>
      <c r="M64" s="7"/>
      <c r="N64" s="7"/>
      <c r="O64" s="7"/>
      <c r="P64" s="7"/>
      <c r="Q64" s="7"/>
      <c r="R64" s="7"/>
      <c r="S64" s="7"/>
      <c r="T64" s="7"/>
    </row>
    <row r="65" spans="3:20">
      <c r="C65" s="7"/>
      <c r="D65" s="7"/>
      <c r="E65" s="7"/>
      <c r="F65" s="7"/>
      <c r="G65" s="7"/>
      <c r="H65" s="7"/>
      <c r="I65" s="7"/>
      <c r="J65" s="7"/>
      <c r="K65" s="7"/>
      <c r="L65" s="7"/>
      <c r="M65" s="7"/>
      <c r="N65" s="7"/>
      <c r="O65" s="7"/>
      <c r="P65" s="7"/>
      <c r="Q65" s="7"/>
      <c r="R65" s="7"/>
      <c r="S65" s="7"/>
      <c r="T65" s="7"/>
    </row>
    <row r="66" spans="3:20">
      <c r="C66" s="7"/>
      <c r="D66" s="7"/>
      <c r="E66" s="7"/>
      <c r="F66" s="7"/>
      <c r="G66" s="7"/>
      <c r="H66" s="7"/>
      <c r="I66" s="7"/>
      <c r="J66" s="7"/>
      <c r="K66" s="7"/>
      <c r="L66" s="7"/>
      <c r="M66" s="7"/>
      <c r="N66" s="7"/>
      <c r="O66" s="7"/>
      <c r="P66" s="7"/>
      <c r="Q66" s="7"/>
      <c r="R66" s="7"/>
      <c r="S66" s="7"/>
      <c r="T66" s="7"/>
    </row>
    <row r="67" spans="3:20">
      <c r="C67" s="7"/>
      <c r="D67" s="7"/>
      <c r="E67" s="7"/>
      <c r="F67" s="7"/>
      <c r="G67" s="7"/>
      <c r="H67" s="7"/>
      <c r="I67" s="7"/>
      <c r="J67" s="7"/>
      <c r="K67" s="7"/>
      <c r="L67" s="7"/>
      <c r="M67" s="7"/>
      <c r="N67" s="7"/>
      <c r="O67" s="7"/>
      <c r="P67" s="7"/>
      <c r="Q67" s="7"/>
      <c r="R67" s="7"/>
      <c r="S67" s="7"/>
      <c r="T67" s="7"/>
    </row>
    <row r="68" spans="3:20">
      <c r="C68" s="7"/>
      <c r="D68" s="7"/>
      <c r="E68" s="7"/>
      <c r="F68" s="7"/>
      <c r="G68" s="7"/>
      <c r="H68" s="7"/>
      <c r="I68" s="7"/>
      <c r="J68" s="7"/>
      <c r="K68" s="7"/>
      <c r="L68" s="7"/>
      <c r="M68" s="7"/>
      <c r="N68" s="7"/>
      <c r="O68" s="7"/>
      <c r="P68" s="7"/>
      <c r="Q68" s="7"/>
      <c r="R68" s="7"/>
      <c r="S68" s="7"/>
      <c r="T68" s="7"/>
    </row>
    <row r="69" spans="3:20">
      <c r="C69" s="7"/>
      <c r="D69" s="7"/>
      <c r="E69" s="7"/>
      <c r="F69" s="7"/>
      <c r="G69" s="7"/>
      <c r="H69" s="7"/>
      <c r="I69" s="7"/>
      <c r="J69" s="7"/>
      <c r="K69" s="7"/>
      <c r="L69" s="7"/>
      <c r="M69" s="7"/>
      <c r="N69" s="7"/>
      <c r="O69" s="7"/>
      <c r="P69" s="7"/>
      <c r="Q69" s="7"/>
      <c r="R69" s="7"/>
      <c r="S69" s="7"/>
      <c r="T69" s="7"/>
    </row>
    <row r="70" spans="3:20">
      <c r="C70" s="7"/>
      <c r="D70" s="7"/>
      <c r="E70" s="7"/>
      <c r="F70" s="7"/>
      <c r="G70" s="7"/>
      <c r="H70" s="7"/>
      <c r="I70" s="7"/>
      <c r="J70" s="7"/>
      <c r="K70" s="7"/>
      <c r="L70" s="7"/>
      <c r="M70" s="7"/>
      <c r="N70" s="7"/>
      <c r="O70" s="7"/>
      <c r="P70" s="7"/>
      <c r="Q70" s="7"/>
      <c r="R70" s="7"/>
      <c r="S70" s="7"/>
      <c r="T70" s="7"/>
    </row>
    <row r="71" spans="3:20">
      <c r="C71" s="7"/>
      <c r="D71" s="7"/>
      <c r="E71" s="7"/>
      <c r="F71" s="7"/>
      <c r="G71" s="7"/>
      <c r="H71" s="7"/>
      <c r="I71" s="7"/>
      <c r="J71" s="7"/>
      <c r="K71" s="7"/>
      <c r="L71" s="7"/>
      <c r="M71" s="7"/>
      <c r="N71" s="7"/>
      <c r="O71" s="7"/>
      <c r="P71" s="7"/>
      <c r="Q71" s="7"/>
      <c r="R71" s="7"/>
      <c r="S71" s="7"/>
      <c r="T71" s="7"/>
    </row>
    <row r="72" spans="3:20">
      <c r="C72" s="7"/>
      <c r="D72" s="7"/>
      <c r="E72" s="7"/>
      <c r="F72" s="7"/>
      <c r="G72" s="7"/>
      <c r="H72" s="7"/>
      <c r="I72" s="7"/>
      <c r="J72" s="7"/>
      <c r="K72" s="7"/>
      <c r="L72" s="7"/>
      <c r="M72" s="7"/>
      <c r="N72" s="7"/>
      <c r="O72" s="7"/>
      <c r="P72" s="7"/>
      <c r="Q72" s="7"/>
      <c r="R72" s="7"/>
      <c r="S72" s="7"/>
      <c r="T72" s="7"/>
    </row>
    <row r="73" spans="3:20">
      <c r="C73" s="7"/>
      <c r="D73" s="7"/>
      <c r="E73" s="7"/>
      <c r="F73" s="7"/>
      <c r="G73" s="7"/>
      <c r="H73" s="7"/>
      <c r="I73" s="7"/>
      <c r="J73" s="7"/>
      <c r="K73" s="7"/>
      <c r="L73" s="7"/>
      <c r="M73" s="7"/>
      <c r="N73" s="7"/>
      <c r="O73" s="7"/>
      <c r="P73" s="7"/>
      <c r="Q73" s="7"/>
      <c r="R73" s="7"/>
      <c r="S73" s="7"/>
      <c r="T73" s="7"/>
    </row>
    <row r="74" spans="3:20">
      <c r="C74" s="7"/>
      <c r="D74" s="7"/>
      <c r="E74" s="7"/>
      <c r="F74" s="7"/>
      <c r="G74" s="7"/>
      <c r="H74" s="7"/>
      <c r="I74" s="7"/>
      <c r="J74" s="7"/>
      <c r="K74" s="7"/>
      <c r="L74" s="7"/>
      <c r="M74" s="7"/>
      <c r="N74" s="7"/>
      <c r="O74" s="7"/>
      <c r="P74" s="7"/>
      <c r="Q74" s="7"/>
      <c r="R74" s="7"/>
      <c r="S74" s="7"/>
      <c r="T74" s="7"/>
    </row>
    <row r="75" spans="3:20">
      <c r="C75" s="7"/>
      <c r="D75" s="7"/>
      <c r="E75" s="7"/>
      <c r="F75" s="7"/>
      <c r="G75" s="7"/>
      <c r="H75" s="7"/>
      <c r="I75" s="7"/>
      <c r="J75" s="7"/>
      <c r="K75" s="7"/>
      <c r="L75" s="7"/>
      <c r="M75" s="7"/>
      <c r="N75" s="7"/>
      <c r="O75" s="7"/>
      <c r="P75" s="7"/>
      <c r="Q75" s="7"/>
      <c r="R75" s="7"/>
      <c r="S75" s="7"/>
      <c r="T75" s="7"/>
    </row>
    <row r="76" spans="3:20">
      <c r="C76" s="7"/>
      <c r="D76" s="7"/>
      <c r="E76" s="7"/>
      <c r="F76" s="7"/>
      <c r="G76" s="7"/>
      <c r="H76" s="7"/>
      <c r="I76" s="7"/>
      <c r="J76" s="7"/>
      <c r="K76" s="7"/>
      <c r="L76" s="7"/>
      <c r="M76" s="7"/>
      <c r="N76" s="7"/>
      <c r="O76" s="7"/>
      <c r="P76" s="7"/>
      <c r="Q76" s="7" t="s">
        <v>1245</v>
      </c>
      <c r="R76" s="7"/>
      <c r="S76" s="7"/>
      <c r="T76" s="7"/>
    </row>
    <row r="77" spans="3:20">
      <c r="C77" s="7"/>
      <c r="D77" s="7"/>
      <c r="E77" s="7"/>
      <c r="F77" s="7"/>
      <c r="G77" s="7"/>
      <c r="H77" s="7"/>
      <c r="I77" s="7"/>
      <c r="J77" s="7"/>
      <c r="K77" s="7"/>
      <c r="L77" s="7"/>
      <c r="M77" s="7"/>
      <c r="N77" s="7"/>
      <c r="O77" s="7"/>
      <c r="P77" s="7"/>
      <c r="Q77" s="7"/>
      <c r="R77" s="7"/>
      <c r="S77" s="7"/>
      <c r="T77" s="7"/>
    </row>
    <row r="78" spans="3:20">
      <c r="C78" s="7"/>
      <c r="D78" s="7"/>
      <c r="E78" s="7"/>
      <c r="F78" s="7"/>
      <c r="G78" s="7"/>
      <c r="H78" s="7"/>
      <c r="I78" s="7"/>
      <c r="J78" s="7"/>
      <c r="K78" s="7"/>
      <c r="L78" s="7"/>
      <c r="M78" s="7"/>
      <c r="N78" s="7"/>
      <c r="O78" s="7"/>
      <c r="P78" s="7"/>
      <c r="Q78" s="7"/>
      <c r="R78" s="7"/>
      <c r="S78" s="7"/>
      <c r="T78" s="7"/>
    </row>
    <row r="79" spans="3:20">
      <c r="C79" s="7"/>
      <c r="D79" s="7"/>
      <c r="E79" s="7"/>
      <c r="F79" s="7"/>
      <c r="G79" s="7"/>
      <c r="H79" s="7"/>
      <c r="I79" s="7"/>
      <c r="J79" s="7"/>
      <c r="K79" s="7"/>
      <c r="L79" s="7"/>
      <c r="M79" s="7"/>
      <c r="N79" s="7"/>
      <c r="O79" s="7"/>
      <c r="P79" s="7"/>
      <c r="Q79" s="7"/>
      <c r="R79" s="7"/>
      <c r="S79" s="7"/>
      <c r="T79" s="7"/>
    </row>
    <row r="80" spans="3:20">
      <c r="C80" s="7"/>
      <c r="D80" s="7"/>
      <c r="E80" s="7"/>
      <c r="F80" s="7"/>
      <c r="G80" s="7"/>
      <c r="H80" s="7"/>
      <c r="I80" s="7"/>
      <c r="J80" s="7"/>
      <c r="K80" s="7"/>
      <c r="L80" s="7"/>
      <c r="M80" s="7"/>
      <c r="N80" s="7"/>
      <c r="O80" s="7"/>
      <c r="P80" s="7"/>
      <c r="Q80" s="7"/>
      <c r="R80" s="7"/>
      <c r="S80" s="7"/>
      <c r="T80" s="7"/>
    </row>
    <row r="81" spans="3:20">
      <c r="C81" s="7"/>
      <c r="D81" s="7"/>
      <c r="E81" s="7"/>
      <c r="F81" s="7"/>
      <c r="G81" s="7"/>
      <c r="H81" s="7"/>
      <c r="I81" s="7"/>
      <c r="J81" s="7"/>
      <c r="K81" s="7"/>
      <c r="L81" s="7"/>
      <c r="M81" s="7"/>
      <c r="N81" s="7"/>
      <c r="O81" s="7"/>
      <c r="P81" s="7"/>
      <c r="Q81" s="7"/>
      <c r="R81" s="7"/>
      <c r="S81" s="7"/>
      <c r="T81" s="7"/>
    </row>
  </sheetData>
  <conditionalFormatting sqref="J40:J43">
    <cfRule type="dataBar" priority="3">
      <dataBar>
        <cfvo type="min"/>
        <cfvo type="max"/>
        <color rgb="FF63C384"/>
      </dataBar>
      <extLst>
        <ext xmlns:x14="http://schemas.microsoft.com/office/spreadsheetml/2009/9/main" uri="{B025F937-C7B1-47D3-B67F-A62EFF666E3E}">
          <x14:id>{33026039-C9D6-4355-A2AD-1375A12197A2}</x14:id>
        </ext>
      </extLst>
    </cfRule>
    <cfRule type="dataBar" priority="4">
      <dataBar>
        <cfvo type="min"/>
        <cfvo type="max"/>
        <color rgb="FF63C384"/>
      </dataBar>
      <extLst>
        <ext xmlns:x14="http://schemas.microsoft.com/office/spreadsheetml/2009/9/main" uri="{B025F937-C7B1-47D3-B67F-A62EFF666E3E}">
          <x14:id>{AA3B2C61-CB67-4679-B661-B766BE120824}</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3026039-C9D6-4355-A2AD-1375A12197A2}">
            <x14:dataBar minLength="0" maxLength="100" gradient="0">
              <x14:cfvo type="autoMin"/>
              <x14:cfvo type="autoMax"/>
              <x14:negativeFillColor rgb="FFFF0000"/>
              <x14:axisColor rgb="FF000000"/>
            </x14:dataBar>
          </x14:cfRule>
          <x14:cfRule type="dataBar" id="{AA3B2C61-CB67-4679-B661-B766BE120824}">
            <x14:dataBar minLength="0" maxLength="100" gradient="0">
              <x14:cfvo type="autoMin"/>
              <x14:cfvo type="autoMax"/>
              <x14:negativeFillColor rgb="FFFF0000"/>
              <x14:axisColor rgb="FF000000"/>
            </x14:dataBar>
          </x14:cfRule>
          <xm:sqref>J40:J43</xm:sqref>
        </x14:conditionalFormatting>
      </x14:conditionalFormattings>
    </ex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1EDB1-01BB-4304-842B-CED0CE0971E2}">
  <dimension ref="A1:H11"/>
  <sheetViews>
    <sheetView tabSelected="1" workbookViewId="0">
      <selection activeCell="D14" sqref="D14"/>
    </sheetView>
  </sheetViews>
  <sheetFormatPr defaultRowHeight="14.4"/>
  <cols>
    <col min="1" max="1" width="15.33203125" bestFit="1" customWidth="1"/>
    <col min="2" max="2" width="16.33203125" bestFit="1" customWidth="1"/>
    <col min="3" max="3" width="15.33203125" bestFit="1" customWidth="1"/>
    <col min="4" max="4" width="13.44140625" customWidth="1"/>
    <col min="5" max="5" width="19.6640625" bestFit="1" customWidth="1"/>
    <col min="6" max="6" width="16.88671875" bestFit="1" customWidth="1"/>
  </cols>
  <sheetData>
    <row r="1" spans="1:8" ht="21">
      <c r="A1" s="28" t="s">
        <v>1246</v>
      </c>
      <c r="B1" s="28"/>
      <c r="C1" s="28"/>
      <c r="D1" s="28"/>
      <c r="E1" s="28"/>
      <c r="F1" s="28"/>
      <c r="G1" s="28"/>
      <c r="H1" s="28"/>
    </row>
    <row r="3" spans="1:8">
      <c r="A3" s="11" t="s">
        <v>1247</v>
      </c>
      <c r="B3" s="11" t="s">
        <v>13</v>
      </c>
      <c r="D3" s="12" t="s">
        <v>1248</v>
      </c>
      <c r="E3" s="11" t="s">
        <v>19</v>
      </c>
    </row>
    <row r="4" spans="1:8">
      <c r="D4" s="10"/>
    </row>
    <row r="6" spans="1:8">
      <c r="A6" s="37" t="s">
        <v>1249</v>
      </c>
      <c r="B6" s="38" t="s">
        <v>1250</v>
      </c>
      <c r="C6" s="39" t="s">
        <v>1251</v>
      </c>
    </row>
    <row r="7" spans="1:8">
      <c r="A7" s="40" t="s">
        <v>1</v>
      </c>
      <c r="B7" s="41" t="str">
        <f>_xlfn.XLOOKUP(B3,'cleaned_data'!A:A,'cleaned_data'!B:B,"Not Found")</f>
        <v>BTC</v>
      </c>
      <c r="C7" s="42" t="str">
        <f>_xlfn.XLOOKUP(E3,'cleaned_data'!A:A,'cleaned_data'!B:B,"Not Found")</f>
        <v>ETH</v>
      </c>
      <c r="E7" s="13" t="s">
        <v>1255</v>
      </c>
      <c r="F7" s="14">
        <f>ABS(B9-C9)</f>
        <v>5911607782</v>
      </c>
    </row>
    <row r="8" spans="1:8">
      <c r="A8" s="40" t="s">
        <v>1252</v>
      </c>
      <c r="B8" s="43">
        <f>_xlfn.XLOOKUP(B3,'cleaned_data'!A:A,'cleaned_data'!C:C,"Not Found")</f>
        <v>80712.679999999993</v>
      </c>
      <c r="C8" s="42">
        <f>_xlfn.XLOOKUP(E3,'cleaned_data'!A:A,'cleaned_data'!C:C,"Not Found")</f>
        <v>2324.59</v>
      </c>
      <c r="E8" s="15"/>
      <c r="F8" s="16"/>
    </row>
    <row r="9" spans="1:8">
      <c r="A9" s="44" t="s">
        <v>1253</v>
      </c>
      <c r="B9" s="45">
        <f>_xlfn.XLOOKUP(B3,'cleaned_data'!A:A,'cleaned_data'!F:F,"Not Found")</f>
        <v>16628011956</v>
      </c>
      <c r="C9" s="46">
        <f>_xlfn.XLOOKUP(E3,'cleaned_data'!A:A,'cleaned_data'!F:F,"Not Found")</f>
        <v>10716404174</v>
      </c>
      <c r="E9" s="13" t="s">
        <v>1256</v>
      </c>
      <c r="F9" s="14">
        <f>ABS(B10-C10)</f>
        <v>1339070000000</v>
      </c>
    </row>
    <row r="10" spans="1:8">
      <c r="A10" s="44" t="s">
        <v>1254</v>
      </c>
      <c r="B10" s="45">
        <f>_xlfn.XLOOKUP(B3,'cleaned_data'!A:A,'cleaned_data'!I:I,"Not Found")</f>
        <v>1620000000000</v>
      </c>
      <c r="C10" s="46">
        <f>_xlfn.XLOOKUP(E3,'cleaned_data'!A:A,'cleaned_data'!I:I,"Not Found")</f>
        <v>280930000000</v>
      </c>
      <c r="E10" s="15"/>
      <c r="F10" s="15"/>
    </row>
    <row r="11" spans="1:8">
      <c r="A11" s="47" t="s">
        <v>6</v>
      </c>
      <c r="B11" s="48">
        <f>_xlfn.XLOOKUP(B3,'cleaned_data'!A:A,'cleaned_data'!H:H,"Not Found")</f>
        <v>20020000</v>
      </c>
      <c r="C11" s="49">
        <f>_xlfn.XLOOKUP(E3,'cleaned_data'!A:A,'cleaned_data'!H:H,"Not Found")</f>
        <v>120680000</v>
      </c>
      <c r="E11" s="13" t="s">
        <v>1257</v>
      </c>
      <c r="F11" s="14">
        <f>ABS(B11-C11)</f>
        <v>100660000</v>
      </c>
    </row>
  </sheetData>
  <mergeCells count="1">
    <mergeCell ref="A1:H1"/>
  </mergeCells>
  <dataValidations count="1">
    <dataValidation type="custom" allowBlank="1" showInputMessage="1" showErrorMessage="1" sqref="B3 E3" xr:uid="{DA3D5D45-F86C-46FC-8410-0381F8E6C32B}">
      <formula1>AND(LEN(B3)&gt;=3,LEN(B3)&lt;=10,ISERROR(LOOKUP(9.999E+307,FIND(ROW($1:$10)-1,B3))))</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5D06B-274A-4DDD-BF59-30DB133295A3}">
  <dimension ref="A1:B9"/>
  <sheetViews>
    <sheetView workbookViewId="0">
      <selection activeCell="P10" sqref="P10"/>
    </sheetView>
  </sheetViews>
  <sheetFormatPr defaultRowHeight="14.4"/>
  <cols>
    <col min="1" max="1" width="41.21875" bestFit="1" customWidth="1"/>
    <col min="2" max="2" width="23.21875" bestFit="1" customWidth="1"/>
  </cols>
  <sheetData>
    <row r="1" spans="1:2">
      <c r="A1" s="4" t="s">
        <v>1258</v>
      </c>
      <c r="B1" t="s">
        <v>1259</v>
      </c>
    </row>
    <row r="3" spans="1:2">
      <c r="A3" s="4" t="s">
        <v>1227</v>
      </c>
      <c r="B3" t="s">
        <v>1243</v>
      </c>
    </row>
    <row r="4" spans="1:2">
      <c r="A4" s="5" t="s">
        <v>13</v>
      </c>
      <c r="B4" s="29">
        <v>16628011956</v>
      </c>
    </row>
    <row r="5" spans="1:2">
      <c r="A5" s="5" t="s">
        <v>19</v>
      </c>
      <c r="B5" s="29">
        <v>10716404174</v>
      </c>
    </row>
    <row r="6" spans="1:2">
      <c r="A6" s="5" t="s">
        <v>45</v>
      </c>
      <c r="B6" s="29">
        <v>3160895215</v>
      </c>
    </row>
    <row r="7" spans="1:2">
      <c r="A7" s="5" t="s">
        <v>36</v>
      </c>
      <c r="B7" s="29">
        <v>778535503</v>
      </c>
    </row>
    <row r="8" spans="1:2">
      <c r="A8" s="5" t="s">
        <v>751</v>
      </c>
      <c r="B8" s="29">
        <v>3866702</v>
      </c>
    </row>
    <row r="9" spans="1:2">
      <c r="A9" s="5" t="s">
        <v>1222</v>
      </c>
      <c r="B9" s="29">
        <v>31287713550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34F2A-7945-4AD9-9D80-9D66E87DBD3E}">
  <dimension ref="A1:C13"/>
  <sheetViews>
    <sheetView zoomScale="90" workbookViewId="0">
      <selection activeCell="Q21" sqref="Q21"/>
    </sheetView>
  </sheetViews>
  <sheetFormatPr defaultRowHeight="14.4"/>
  <cols>
    <col min="1" max="1" width="27.77734375" bestFit="1" customWidth="1"/>
    <col min="2" max="2" width="17" bestFit="1" customWidth="1"/>
    <col min="3" max="3" width="20.21875" bestFit="1" customWidth="1"/>
  </cols>
  <sheetData>
    <row r="1" spans="1:3">
      <c r="A1" s="4" t="s">
        <v>1227</v>
      </c>
      <c r="B1" t="s">
        <v>1237</v>
      </c>
      <c r="C1" t="s">
        <v>1262</v>
      </c>
    </row>
    <row r="2" spans="1:3">
      <c r="A2" s="5" t="s">
        <v>185</v>
      </c>
      <c r="B2" s="6">
        <v>7.8</v>
      </c>
      <c r="C2" s="29">
        <v>7.7945438193264716</v>
      </c>
    </row>
    <row r="3" spans="1:3">
      <c r="A3" s="5" t="s">
        <v>131</v>
      </c>
      <c r="B3" s="6">
        <v>5.08</v>
      </c>
      <c r="C3" s="29">
        <v>5.0643006679294187</v>
      </c>
    </row>
    <row r="4" spans="1:3">
      <c r="A4" s="5" t="s">
        <v>147</v>
      </c>
      <c r="B4" s="6">
        <v>4.1100000000000003</v>
      </c>
      <c r="C4" s="29">
        <v>4.1046639368820532</v>
      </c>
    </row>
    <row r="5" spans="1:3">
      <c r="A5" s="5" t="s">
        <v>260</v>
      </c>
      <c r="B5" s="6">
        <v>3.09</v>
      </c>
      <c r="C5" s="29">
        <v>3.0807577268195416</v>
      </c>
    </row>
    <row r="6" spans="1:3">
      <c r="A6" s="5" t="s">
        <v>31</v>
      </c>
      <c r="B6" s="6">
        <v>1.42</v>
      </c>
      <c r="C6" s="29">
        <v>1.4178731902146777</v>
      </c>
    </row>
    <row r="7" spans="1:3">
      <c r="A7" s="5" t="s">
        <v>584</v>
      </c>
      <c r="B7" s="6">
        <v>1.32</v>
      </c>
      <c r="C7" s="29">
        <v>1.3156583275191867</v>
      </c>
    </row>
    <row r="8" spans="1:3">
      <c r="A8" s="5" t="s">
        <v>439</v>
      </c>
      <c r="B8" s="6">
        <v>1.18</v>
      </c>
      <c r="C8" s="29">
        <v>1.1608460403344811</v>
      </c>
    </row>
    <row r="9" spans="1:3">
      <c r="A9" s="5" t="s">
        <v>136</v>
      </c>
      <c r="B9" s="6">
        <v>1.1299999999999999</v>
      </c>
      <c r="C9" s="29">
        <v>1.1298870112988699</v>
      </c>
    </row>
    <row r="10" spans="1:3">
      <c r="A10" s="5" t="s">
        <v>1022</v>
      </c>
      <c r="B10" s="6">
        <v>1.18</v>
      </c>
      <c r="C10" s="29">
        <v>1.1227402473834442</v>
      </c>
    </row>
    <row r="11" spans="1:3">
      <c r="A11" s="5" t="s">
        <v>25</v>
      </c>
      <c r="B11" s="6">
        <v>0.99980000000000002</v>
      </c>
      <c r="C11" s="29">
        <v>0.99980000000000002</v>
      </c>
    </row>
    <row r="12" spans="1:3">
      <c r="A12" s="5" t="s">
        <v>41</v>
      </c>
      <c r="B12" s="6">
        <v>0.99980000000000002</v>
      </c>
      <c r="C12" s="29">
        <v>0.99970002999700036</v>
      </c>
    </row>
    <row r="13" spans="1:3">
      <c r="A13" s="5" t="s">
        <v>1222</v>
      </c>
      <c r="B13" s="6">
        <v>28.309600000000003</v>
      </c>
      <c r="C13" s="29">
        <v>28.190770997705144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F161F-7271-4E6D-B177-1CE828BEAF33}">
  <dimension ref="A1:D14"/>
  <sheetViews>
    <sheetView workbookViewId="0">
      <selection activeCell="L8" sqref="L8"/>
    </sheetView>
  </sheetViews>
  <sheetFormatPr defaultRowHeight="14.4"/>
  <cols>
    <col min="1" max="1" width="16.109375" bestFit="1" customWidth="1"/>
    <col min="2" max="2" width="22.109375" bestFit="1" customWidth="1"/>
    <col min="3" max="3" width="23.109375" bestFit="1" customWidth="1"/>
    <col min="4" max="4" width="19.77734375" bestFit="1" customWidth="1"/>
  </cols>
  <sheetData>
    <row r="1" spans="1:4">
      <c r="A1" s="4" t="s">
        <v>1261</v>
      </c>
      <c r="B1" t="s">
        <v>1267</v>
      </c>
    </row>
    <row r="3" spans="1:4">
      <c r="A3" s="4" t="s">
        <v>1227</v>
      </c>
      <c r="B3" t="s">
        <v>1266</v>
      </c>
      <c r="C3" t="s">
        <v>1268</v>
      </c>
      <c r="D3" t="s">
        <v>1226</v>
      </c>
    </row>
    <row r="4" spans="1:4">
      <c r="A4" s="5" t="s">
        <v>933</v>
      </c>
      <c r="B4" s="29">
        <v>3.4970563498738436E-3</v>
      </c>
      <c r="C4" s="29">
        <v>4.1168316831683167E-3</v>
      </c>
      <c r="D4" s="29">
        <v>2.7E-2</v>
      </c>
    </row>
    <row r="5" spans="1:4">
      <c r="A5" s="5" t="s">
        <v>384</v>
      </c>
      <c r="B5" s="29">
        <v>3.6625379378229843E-2</v>
      </c>
      <c r="C5" s="29">
        <v>4.4207920792079212E-2</v>
      </c>
      <c r="D5" s="29">
        <v>3.1300000000000001E-2</v>
      </c>
    </row>
    <row r="6" spans="1:4">
      <c r="A6" s="5" t="s">
        <v>846</v>
      </c>
      <c r="B6" s="29">
        <v>2.3921798959556973E-2</v>
      </c>
      <c r="C6" s="29">
        <v>2.8227722772277229E-2</v>
      </c>
      <c r="D6" s="29">
        <v>2.7400000000000001E-2</v>
      </c>
    </row>
    <row r="7" spans="1:4">
      <c r="A7" s="5" t="s">
        <v>462</v>
      </c>
      <c r="B7" s="29">
        <v>9.3056471105251587E-2</v>
      </c>
      <c r="C7" s="29">
        <v>0.16772277227722771</v>
      </c>
      <c r="D7" s="29">
        <v>0.1172</v>
      </c>
    </row>
    <row r="8" spans="1:4">
      <c r="A8" s="5" t="s">
        <v>474</v>
      </c>
      <c r="B8" s="29">
        <v>9.1214470284237722E-4</v>
      </c>
      <c r="C8" s="29">
        <v>1.0485148514851486E-3</v>
      </c>
      <c r="D8" s="29">
        <v>2.3E-2</v>
      </c>
    </row>
    <row r="9" spans="1:4">
      <c r="A9" s="5" t="s">
        <v>914</v>
      </c>
      <c r="B9" s="29">
        <v>2.2222222222222223E-4</v>
      </c>
      <c r="C9" s="29">
        <v>4.4534653465346533E-4</v>
      </c>
      <c r="D9" s="29">
        <v>0.14630000000000001</v>
      </c>
    </row>
    <row r="10" spans="1:4">
      <c r="A10" s="5" t="s">
        <v>390</v>
      </c>
      <c r="B10" s="29">
        <v>0.1379855277385012</v>
      </c>
      <c r="C10" s="29">
        <v>0.16425742574257424</v>
      </c>
      <c r="D10" s="29">
        <v>2.8899999999999999E-2</v>
      </c>
    </row>
    <row r="11" spans="1:4">
      <c r="A11" s="5" t="s">
        <v>492</v>
      </c>
      <c r="B11" s="29">
        <v>1.0535446731330336E-4</v>
      </c>
      <c r="C11" s="29">
        <v>1.3227722772277226E-4</v>
      </c>
      <c r="D11" s="29">
        <v>3.8300000000000001E-2</v>
      </c>
    </row>
    <row r="12" spans="1:4">
      <c r="A12" s="5" t="s">
        <v>908</v>
      </c>
      <c r="B12" s="29">
        <v>1.7963604852686312E-3</v>
      </c>
      <c r="C12" s="29">
        <v>2.0524752475247527E-3</v>
      </c>
      <c r="D12" s="29">
        <v>2.1999999999999999E-2</v>
      </c>
    </row>
    <row r="13" spans="1:4">
      <c r="A13" s="5" t="s">
        <v>1022</v>
      </c>
      <c r="B13" s="29">
        <v>0.86956521739130432</v>
      </c>
      <c r="C13" s="29">
        <v>1.1683168316831682</v>
      </c>
      <c r="D13" s="29">
        <v>5.0999999999999997E-2</v>
      </c>
    </row>
    <row r="14" spans="1:4">
      <c r="A14" s="5" t="s">
        <v>1222</v>
      </c>
      <c r="B14" s="29">
        <v>1.1676875328003642</v>
      </c>
      <c r="C14" s="29">
        <v>1.5805281188118812</v>
      </c>
      <c r="D14" s="29">
        <v>0.51239999999999997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99B95-5E4C-4AA0-A9DC-141E736F5028}">
  <dimension ref="A1:J16"/>
  <sheetViews>
    <sheetView workbookViewId="0">
      <selection activeCell="C8" sqref="C8"/>
    </sheetView>
  </sheetViews>
  <sheetFormatPr defaultRowHeight="14.4"/>
  <cols>
    <col min="1" max="1" width="17.77734375" bestFit="1" customWidth="1"/>
    <col min="2" max="2" width="20.21875" bestFit="1" customWidth="1"/>
    <col min="3" max="3" width="16.109375" bestFit="1" customWidth="1"/>
    <col min="4" max="4" width="16.5546875" bestFit="1" customWidth="1"/>
    <col min="5" max="5" width="34.77734375" bestFit="1" customWidth="1"/>
    <col min="6" max="6" width="6.88671875" bestFit="1" customWidth="1"/>
    <col min="7" max="7" width="7.77734375" customWidth="1"/>
    <col min="8" max="8" width="13.6640625" bestFit="1" customWidth="1"/>
    <col min="9" max="9" width="10.109375" bestFit="1" customWidth="1"/>
  </cols>
  <sheetData>
    <row r="1" spans="1:10" ht="18" customHeight="1">
      <c r="A1" s="30" t="s">
        <v>1271</v>
      </c>
      <c r="B1" s="31" t="s">
        <v>1272</v>
      </c>
      <c r="E1" s="23"/>
      <c r="F1" s="23"/>
      <c r="G1" s="23"/>
      <c r="H1" s="23"/>
      <c r="I1" s="23"/>
    </row>
    <row r="2" spans="1:10" ht="22.2" customHeight="1">
      <c r="A2" s="26" t="s">
        <v>1277</v>
      </c>
      <c r="B2" s="27"/>
      <c r="C2" s="27"/>
      <c r="E2" s="24" t="s">
        <v>1276</v>
      </c>
      <c r="F2" s="25"/>
      <c r="G2" s="25"/>
      <c r="H2" s="25"/>
      <c r="I2" s="25"/>
    </row>
    <row r="3" spans="1:10">
      <c r="A3" s="30" t="s">
        <v>1227</v>
      </c>
      <c r="B3" s="32" t="s">
        <v>1273</v>
      </c>
      <c r="C3" s="31" t="s">
        <v>1274</v>
      </c>
      <c r="E3" s="21" t="s">
        <v>0</v>
      </c>
      <c r="F3" s="21" t="s">
        <v>1</v>
      </c>
      <c r="G3" s="21" t="s">
        <v>1252</v>
      </c>
      <c r="H3" s="21" t="s">
        <v>1270</v>
      </c>
      <c r="I3" s="21" t="s">
        <v>1275</v>
      </c>
    </row>
    <row r="4" spans="1:10">
      <c r="A4" s="33" t="s">
        <v>541</v>
      </c>
      <c r="B4" s="32">
        <v>3.9999999999999991E-4</v>
      </c>
      <c r="C4" s="34">
        <v>8.0710000000000004E-2</v>
      </c>
      <c r="E4" s="18" t="str">
        <f>A4</f>
        <v>MWX Token</v>
      </c>
      <c r="F4" s="18" t="str">
        <f>VLOOKUP(E4,'cleaned_data'!A:B,2,FALSE)</f>
        <v>MWXT</v>
      </c>
      <c r="G4" s="19">
        <f>C4</f>
        <v>8.0710000000000004E-2</v>
      </c>
      <c r="H4" s="20">
        <f>B4</f>
        <v>3.9999999999999991E-4</v>
      </c>
      <c r="I4" s="18">
        <f>COUNTIF('cleaned_data'!W:W,B1)</f>
        <v>56</v>
      </c>
      <c r="J4" s="9"/>
    </row>
    <row r="5" spans="1:10">
      <c r="A5" s="33" t="s">
        <v>374</v>
      </c>
      <c r="B5" s="32">
        <v>3.9999999999999991E-4</v>
      </c>
      <c r="C5" s="34">
        <v>5.577E-2</v>
      </c>
    </row>
    <row r="6" spans="1:10">
      <c r="A6" s="33" t="s">
        <v>121</v>
      </c>
      <c r="B6" s="32">
        <v>3.9999999999999991E-4</v>
      </c>
      <c r="C6" s="34">
        <v>5.1965999999999998E-2</v>
      </c>
    </row>
    <row r="7" spans="1:10">
      <c r="A7" s="33" t="s">
        <v>249</v>
      </c>
      <c r="B7" s="32">
        <v>3.9999999999999991E-4</v>
      </c>
      <c r="C7" s="34">
        <v>6.2850000000000003E-2</v>
      </c>
    </row>
    <row r="16" spans="1:10" ht="18">
      <c r="A16" s="22"/>
    </row>
  </sheetData>
  <mergeCells count="2">
    <mergeCell ref="E2:I2"/>
    <mergeCell ref="A2:C2"/>
  </mergeCells>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1BC33AD-7A17-425E-9F2C-68B873234D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cleaned_data</vt:lpstr>
      <vt:lpstr>Pivotcharts</vt:lpstr>
      <vt:lpstr>Raw_data</vt:lpstr>
      <vt:lpstr>Dashboard</vt:lpstr>
      <vt:lpstr>Coin_Comparison</vt:lpstr>
      <vt:lpstr>Liquidity_Analysis</vt:lpstr>
      <vt:lpstr>Price_Analysis</vt:lpstr>
      <vt:lpstr>Historical_Insights</vt:lpstr>
      <vt:lpstr>Low_Budget_Insights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snehitha0895@gmail.com</cp:lastModifiedBy>
  <dcterms:created xsi:type="dcterms:W3CDTF">2026-05-10T10:24:48Z</dcterms:created>
  <dcterms:modified xsi:type="dcterms:W3CDTF">2026-06-08T17:43:34Z</dcterms:modified>
</cp:coreProperties>
</file>